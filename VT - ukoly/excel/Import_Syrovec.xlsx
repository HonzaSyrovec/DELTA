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8069CB85-BBAA-42D7-8EB8-98360F191AD1}" xr6:coauthVersionLast="47" xr6:coauthVersionMax="47" xr10:uidLastSave="{00000000-0000-0000-0000-000000000000}"/>
  <bookViews>
    <workbookView xWindow="-105" yWindow="0" windowWidth="18900" windowHeight="15585" activeTab="1" xr2:uid="{56B2B5E8-6C79-43CE-8BC8-B4D3C9298136}"/>
  </bookViews>
  <sheets>
    <sheet name="Hmotnost_Syrovec" sheetId="1" r:id="rId1"/>
    <sheet name="propojení" sheetId="2" r:id="rId2"/>
    <sheet name="transpon" sheetId="3" r:id="rId3"/>
  </sheets>
  <definedNames>
    <definedName name="hmostnost" localSheetId="0">Hmotnost_Syrovec!$A$1:$E$37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1" i="2"/>
  <c r="C1" i="2"/>
  <c r="D1" i="2"/>
  <c r="E1" i="2"/>
  <c r="A2" i="2"/>
  <c r="B2" i="2"/>
  <c r="C2" i="2"/>
  <c r="D2" i="2"/>
  <c r="E2" i="2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C8659C-1851-4168-A0A5-E4DE8A719D1C}" name="hmostnost" type="6" refreshedVersion="8" background="1" saveData="1">
    <textPr codePage="1250" sourceFile="C:\Users\JanSy\Downloads\hmostnost.txt" decimal="," thousands=" 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<sst xmlns="http://schemas.openxmlformats.org/spreadsheetml/2006/main" count="42" uniqueCount="7">
  <si>
    <t>věk</t>
  </si>
  <si>
    <t>výška</t>
  </si>
  <si>
    <t>hmotnost</t>
  </si>
  <si>
    <t>BMI</t>
  </si>
  <si>
    <t>Z</t>
  </si>
  <si>
    <t>M</t>
  </si>
  <si>
    <t>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</si>
</sst>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2" borderId="1" xfId="1" applyBorder="1"/>
    <xf numFmtId="0" fontId="1" fillId="3" borderId="1" xfId="2" applyBorder="1"/>
  </cellXfs>
  <cellStyles count="3">
    <cellStyle name="20 % – Zvýraznění 3" xfId="2" builtinId="38"/>
    <cellStyle name="Normální" xfId="0" builtinId="0"/>
    <cellStyle name="Zvýraznění 1" xfId="1" builtinId="29"/>
  </cellStyles>
  <dxfs count="21">
    <dxf>
      <fill>
        <patternFill>
          <bgColor theme="9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9</xdr:col>
      <xdr:colOff>361950</xdr:colOff>
      <xdr:row>37</xdr:row>
      <xdr:rowOff>9525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D0E2D990-2A40-A3B3-B61B-8EF4A9633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0"/>
          <a:ext cx="2190750" cy="705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mostnost" connectionId="1" xr16:uid="{5B6CAEDC-EB53-4130-B7E5-457A5DF57DB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0FCD-E992-4DDD-882A-0DC142DE3FFC}">
  <dimension ref="A1:E37"/>
  <sheetViews>
    <sheetView topLeftCell="A3" workbookViewId="0">
      <selection activeCell="E1" sqref="E1:E37"/>
    </sheetView>
  </sheetViews>
  <sheetFormatPr defaultRowHeight="15" x14ac:dyDescent="0.25"/>
  <cols>
    <col min="1" max="1" width="7.5703125" bestFit="1" customWidth="1"/>
    <col min="2" max="2" width="3.85546875" bestFit="1" customWidth="1"/>
    <col min="3" max="3" width="5.85546875" bestFit="1" customWidth="1"/>
    <col min="4" max="4" width="9.42578125" bestFit="1" customWidth="1"/>
    <col min="5" max="5" width="6" bestFit="1" customWidth="1"/>
  </cols>
  <sheetData>
    <row r="1" spans="1:5" x14ac:dyDescent="0.25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 t="s">
        <v>4</v>
      </c>
      <c r="B2" s="1">
        <v>18</v>
      </c>
      <c r="C2" s="3">
        <v>158</v>
      </c>
      <c r="D2" s="3">
        <v>50</v>
      </c>
      <c r="E2" s="3">
        <v>20.03</v>
      </c>
    </row>
    <row r="3" spans="1:5" x14ac:dyDescent="0.25">
      <c r="A3" s="1" t="s">
        <v>4</v>
      </c>
      <c r="B3" s="1">
        <v>18</v>
      </c>
      <c r="C3" s="3">
        <v>169</v>
      </c>
      <c r="D3" s="3">
        <v>60</v>
      </c>
      <c r="E3" s="3">
        <v>21.01</v>
      </c>
    </row>
    <row r="4" spans="1:5" x14ac:dyDescent="0.25">
      <c r="A4" s="1" t="s">
        <v>5</v>
      </c>
      <c r="B4" s="1">
        <v>18</v>
      </c>
      <c r="C4" s="3">
        <v>185</v>
      </c>
      <c r="D4" s="3">
        <v>80</v>
      </c>
      <c r="E4" s="3">
        <v>23.37</v>
      </c>
    </row>
    <row r="5" spans="1:5" x14ac:dyDescent="0.25">
      <c r="A5" s="1" t="s">
        <v>5</v>
      </c>
      <c r="B5" s="1">
        <v>18</v>
      </c>
      <c r="C5" s="3">
        <v>184</v>
      </c>
      <c r="D5" s="3">
        <v>75</v>
      </c>
      <c r="E5" s="3">
        <v>22.15</v>
      </c>
    </row>
    <row r="6" spans="1:5" x14ac:dyDescent="0.25">
      <c r="A6" s="1" t="s">
        <v>5</v>
      </c>
      <c r="B6" s="1">
        <v>20</v>
      </c>
      <c r="C6" s="3">
        <v>174</v>
      </c>
      <c r="D6" s="3">
        <v>72</v>
      </c>
      <c r="E6" s="3">
        <v>23.78</v>
      </c>
    </row>
    <row r="7" spans="1:5" x14ac:dyDescent="0.25">
      <c r="A7" s="1" t="s">
        <v>5</v>
      </c>
      <c r="B7" s="1">
        <v>19</v>
      </c>
      <c r="C7" s="3">
        <v>191</v>
      </c>
      <c r="D7" s="3">
        <v>89</v>
      </c>
      <c r="E7" s="3">
        <v>24.4</v>
      </c>
    </row>
    <row r="8" spans="1:5" x14ac:dyDescent="0.25">
      <c r="A8" s="1" t="s">
        <v>5</v>
      </c>
      <c r="B8" s="1">
        <v>20</v>
      </c>
      <c r="C8" s="3">
        <v>185</v>
      </c>
      <c r="D8" s="3">
        <v>77</v>
      </c>
      <c r="E8" s="3">
        <v>22.5</v>
      </c>
    </row>
    <row r="9" spans="1:5" x14ac:dyDescent="0.25">
      <c r="A9" s="1" t="s">
        <v>4</v>
      </c>
      <c r="B9" s="1">
        <v>19</v>
      </c>
      <c r="C9" s="3">
        <v>164</v>
      </c>
      <c r="D9" s="3">
        <v>47</v>
      </c>
      <c r="E9" s="3">
        <v>17.47</v>
      </c>
    </row>
    <row r="10" spans="1:5" x14ac:dyDescent="0.25">
      <c r="A10" s="1" t="s">
        <v>4</v>
      </c>
      <c r="B10" s="1">
        <v>18</v>
      </c>
      <c r="C10" s="3">
        <v>173</v>
      </c>
      <c r="D10" s="3">
        <v>65</v>
      </c>
      <c r="E10" s="3">
        <v>21.72</v>
      </c>
    </row>
    <row r="11" spans="1:5" x14ac:dyDescent="0.25">
      <c r="A11" s="1" t="s">
        <v>4</v>
      </c>
      <c r="B11" s="1">
        <v>19</v>
      </c>
      <c r="C11" s="3">
        <v>154</v>
      </c>
      <c r="D11" s="3">
        <v>52</v>
      </c>
      <c r="E11" s="3">
        <v>21.93</v>
      </c>
    </row>
    <row r="12" spans="1:5" x14ac:dyDescent="0.25">
      <c r="A12" s="1" t="s">
        <v>4</v>
      </c>
      <c r="B12" s="1">
        <v>19</v>
      </c>
      <c r="C12" s="3">
        <v>178</v>
      </c>
      <c r="D12" s="3">
        <v>78</v>
      </c>
      <c r="E12" s="3">
        <v>24.62</v>
      </c>
    </row>
    <row r="13" spans="1:5" x14ac:dyDescent="0.25">
      <c r="A13" s="1" t="s">
        <v>5</v>
      </c>
      <c r="B13" s="1">
        <v>18</v>
      </c>
      <c r="C13" s="3">
        <v>176</v>
      </c>
      <c r="D13" s="3">
        <v>74</v>
      </c>
      <c r="E13" s="3">
        <v>23.89</v>
      </c>
    </row>
    <row r="14" spans="1:5" x14ac:dyDescent="0.25">
      <c r="A14" s="1" t="s">
        <v>5</v>
      </c>
      <c r="B14" s="1">
        <v>18</v>
      </c>
      <c r="C14" s="3">
        <v>186</v>
      </c>
      <c r="D14" s="3">
        <v>81</v>
      </c>
      <c r="E14" s="3">
        <v>23.41</v>
      </c>
    </row>
    <row r="15" spans="1:5" x14ac:dyDescent="0.25">
      <c r="A15" s="1" t="s">
        <v>5</v>
      </c>
      <c r="B15" s="1">
        <v>19</v>
      </c>
      <c r="C15" s="3">
        <v>195</v>
      </c>
      <c r="D15" s="3">
        <v>79</v>
      </c>
      <c r="E15" s="3">
        <v>20.78</v>
      </c>
    </row>
    <row r="16" spans="1:5" x14ac:dyDescent="0.25">
      <c r="A16" s="1" t="s">
        <v>5</v>
      </c>
      <c r="B16" s="1">
        <v>19</v>
      </c>
      <c r="C16" s="3">
        <v>180</v>
      </c>
      <c r="D16" s="3">
        <v>75</v>
      </c>
      <c r="E16" s="3">
        <v>23.15</v>
      </c>
    </row>
    <row r="17" spans="1:5" x14ac:dyDescent="0.25">
      <c r="A17" s="1" t="s">
        <v>4</v>
      </c>
      <c r="B17" s="1">
        <v>18</v>
      </c>
      <c r="C17" s="3">
        <v>164</v>
      </c>
      <c r="D17" s="3">
        <v>52</v>
      </c>
      <c r="E17" s="3">
        <v>19.329999999999998</v>
      </c>
    </row>
    <row r="18" spans="1:5" x14ac:dyDescent="0.25">
      <c r="A18" s="1" t="s">
        <v>4</v>
      </c>
      <c r="B18" s="1">
        <v>20</v>
      </c>
      <c r="C18" s="3">
        <v>169</v>
      </c>
      <c r="D18" s="3">
        <v>54</v>
      </c>
      <c r="E18" s="3">
        <v>18.91</v>
      </c>
    </row>
    <row r="19" spans="1:5" x14ac:dyDescent="0.25">
      <c r="A19" s="1" t="s">
        <v>5</v>
      </c>
      <c r="B19" s="1">
        <v>19</v>
      </c>
      <c r="C19" s="3">
        <v>184</v>
      </c>
      <c r="D19" s="3">
        <v>77</v>
      </c>
      <c r="E19" s="3">
        <v>22.74</v>
      </c>
    </row>
    <row r="20" spans="1:5" x14ac:dyDescent="0.25">
      <c r="A20" s="1" t="s">
        <v>5</v>
      </c>
      <c r="B20" s="1">
        <v>18</v>
      </c>
      <c r="C20" s="3">
        <v>186</v>
      </c>
      <c r="D20" s="3">
        <v>9</v>
      </c>
      <c r="E20" s="3">
        <v>2.6</v>
      </c>
    </row>
    <row r="21" spans="1:5" x14ac:dyDescent="0.25">
      <c r="A21" s="1" t="s">
        <v>5</v>
      </c>
      <c r="B21" s="1">
        <v>18</v>
      </c>
      <c r="C21" s="3">
        <v>183</v>
      </c>
      <c r="D21" s="3">
        <v>70</v>
      </c>
      <c r="E21" s="3">
        <v>20.9</v>
      </c>
    </row>
    <row r="22" spans="1:5" x14ac:dyDescent="0.25">
      <c r="A22" s="1" t="s">
        <v>5</v>
      </c>
      <c r="B22" s="1">
        <v>18</v>
      </c>
      <c r="C22" s="3">
        <v>176</v>
      </c>
      <c r="D22" s="3">
        <v>70</v>
      </c>
      <c r="E22" s="3">
        <v>22.6</v>
      </c>
    </row>
    <row r="23" spans="1:5" x14ac:dyDescent="0.25">
      <c r="A23" s="1" t="s">
        <v>5</v>
      </c>
      <c r="B23" s="1">
        <v>19</v>
      </c>
      <c r="C23" s="3">
        <v>187</v>
      </c>
      <c r="D23" s="3">
        <v>84</v>
      </c>
      <c r="E23" s="3">
        <v>24.02</v>
      </c>
    </row>
    <row r="24" spans="1:5" x14ac:dyDescent="0.25">
      <c r="A24" s="1" t="s">
        <v>4</v>
      </c>
      <c r="B24" s="1">
        <v>18</v>
      </c>
      <c r="C24" s="3">
        <v>173</v>
      </c>
      <c r="D24" s="3">
        <v>68</v>
      </c>
      <c r="E24" s="3">
        <v>22.72</v>
      </c>
    </row>
    <row r="25" spans="1:5" x14ac:dyDescent="0.25">
      <c r="A25" s="1" t="s">
        <v>4</v>
      </c>
      <c r="B25" s="1">
        <v>19</v>
      </c>
      <c r="C25" s="3">
        <v>170</v>
      </c>
      <c r="D25" s="3">
        <v>60</v>
      </c>
      <c r="E25" s="3">
        <v>20.76</v>
      </c>
    </row>
    <row r="26" spans="1:5" x14ac:dyDescent="0.25">
      <c r="A26" s="1" t="s">
        <v>4</v>
      </c>
      <c r="B26" s="1">
        <v>18</v>
      </c>
      <c r="C26" s="3">
        <v>160</v>
      </c>
      <c r="D26" s="3">
        <v>50</v>
      </c>
      <c r="E26" s="3">
        <v>19.53</v>
      </c>
    </row>
    <row r="27" spans="1:5" x14ac:dyDescent="0.25">
      <c r="A27" s="1" t="s">
        <v>4</v>
      </c>
      <c r="B27" s="1">
        <v>18</v>
      </c>
      <c r="C27" s="3">
        <v>168</v>
      </c>
      <c r="D27" s="3">
        <v>58</v>
      </c>
      <c r="E27" s="3">
        <v>20.55</v>
      </c>
    </row>
    <row r="28" spans="1:5" x14ac:dyDescent="0.25">
      <c r="A28" s="1" t="s">
        <v>4</v>
      </c>
      <c r="B28" s="1">
        <v>18</v>
      </c>
      <c r="C28" s="3">
        <v>168</v>
      </c>
      <c r="D28" s="3">
        <v>62</v>
      </c>
      <c r="E28" s="3">
        <v>21.97</v>
      </c>
    </row>
    <row r="29" spans="1:5" x14ac:dyDescent="0.25">
      <c r="A29" s="1" t="s">
        <v>5</v>
      </c>
      <c r="B29" s="1">
        <v>20</v>
      </c>
      <c r="C29" s="3">
        <v>182</v>
      </c>
      <c r="D29" s="3">
        <v>70</v>
      </c>
      <c r="E29" s="3">
        <v>21.13</v>
      </c>
    </row>
    <row r="30" spans="1:5" x14ac:dyDescent="0.25">
      <c r="A30" s="1" t="s">
        <v>5</v>
      </c>
      <c r="B30" s="1">
        <v>20</v>
      </c>
      <c r="C30" s="3">
        <v>172</v>
      </c>
      <c r="D30" s="3">
        <v>57</v>
      </c>
      <c r="E30" s="3">
        <v>19.27</v>
      </c>
    </row>
    <row r="31" spans="1:5" x14ac:dyDescent="0.25">
      <c r="A31" s="1" t="s">
        <v>4</v>
      </c>
      <c r="B31" s="1">
        <v>18</v>
      </c>
      <c r="C31" s="3">
        <v>160</v>
      </c>
      <c r="D31" s="3">
        <v>54</v>
      </c>
      <c r="E31" s="3">
        <v>21.09</v>
      </c>
    </row>
    <row r="32" spans="1:5" x14ac:dyDescent="0.25">
      <c r="A32" s="1" t="s">
        <v>5</v>
      </c>
      <c r="B32" s="1">
        <v>18</v>
      </c>
      <c r="C32" s="3">
        <v>182</v>
      </c>
      <c r="D32" s="3">
        <v>80</v>
      </c>
      <c r="E32" s="3">
        <v>24.15</v>
      </c>
    </row>
    <row r="33" spans="1:5" x14ac:dyDescent="0.25">
      <c r="A33" s="1" t="s">
        <v>5</v>
      </c>
      <c r="B33" s="1">
        <v>18</v>
      </c>
      <c r="C33" s="3">
        <v>180</v>
      </c>
      <c r="D33" s="3">
        <v>65</v>
      </c>
      <c r="E33" s="3">
        <v>20.059999999999999</v>
      </c>
    </row>
    <row r="34" spans="1:5" x14ac:dyDescent="0.25">
      <c r="A34" s="1" t="s">
        <v>5</v>
      </c>
      <c r="B34" s="1">
        <v>18</v>
      </c>
      <c r="C34" s="3">
        <v>178</v>
      </c>
      <c r="D34" s="3">
        <v>50</v>
      </c>
      <c r="E34" s="3">
        <v>15.78</v>
      </c>
    </row>
    <row r="35" spans="1:5" x14ac:dyDescent="0.25">
      <c r="A35" s="1" t="s">
        <v>5</v>
      </c>
      <c r="B35" s="1">
        <v>19</v>
      </c>
      <c r="C35" s="3">
        <v>180</v>
      </c>
      <c r="D35" s="3">
        <v>65</v>
      </c>
      <c r="E35" s="3">
        <v>20.059999999999999</v>
      </c>
    </row>
    <row r="36" spans="1:5" x14ac:dyDescent="0.25">
      <c r="A36" s="1" t="s">
        <v>5</v>
      </c>
      <c r="B36" s="1">
        <v>18</v>
      </c>
      <c r="C36" s="3">
        <v>172</v>
      </c>
      <c r="D36" s="3">
        <v>68</v>
      </c>
      <c r="E36" s="3">
        <v>22.99</v>
      </c>
    </row>
    <row r="37" spans="1:5" x14ac:dyDescent="0.25">
      <c r="A37" s="1" t="s">
        <v>5</v>
      </c>
      <c r="B37" s="1">
        <v>20</v>
      </c>
      <c r="C37" s="3">
        <v>182</v>
      </c>
      <c r="D37" s="3">
        <v>100</v>
      </c>
      <c r="E37" s="3">
        <v>30.19</v>
      </c>
    </row>
  </sheetData>
  <conditionalFormatting sqref="A2:A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" priority="3" operator="equal">
      <formula>"M"</formula>
    </cfRule>
    <cfRule type="cellIs" dxfId="18" priority="2" operator="equal">
      <formula>"Z"</formula>
    </cfRule>
  </conditionalFormatting>
  <conditionalFormatting sqref="B2:B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6F1C-452D-4444-8FB3-AA416A358899}">
  <dimension ref="A1:E37"/>
  <sheetViews>
    <sheetView tabSelected="1" topLeftCell="A7" workbookViewId="0">
      <selection activeCell="G1" sqref="G1"/>
    </sheetView>
  </sheetViews>
  <sheetFormatPr defaultRowHeight="15" x14ac:dyDescent="0.25"/>
  <sheetData>
    <row r="1" spans="1:5" x14ac:dyDescent="0.25">
      <c r="A1" t="str">
        <f>Hmotnost_Syrovec!A1</f>
        <v>ONO</v>
      </c>
      <c r="B1" t="str">
        <f>Hmotnost_Syrovec!B1</f>
        <v>věk</v>
      </c>
      <c r="C1" t="str">
        <f>Hmotnost_Syrovec!C1</f>
        <v>výška</v>
      </c>
      <c r="D1" t="str">
        <f>Hmotnost_Syrovec!D1</f>
        <v>hmotnost</v>
      </c>
      <c r="E1" t="str">
        <f>Hmotnost_Syrovec!E1</f>
        <v>BMI</v>
      </c>
    </row>
    <row r="2" spans="1:5" x14ac:dyDescent="0.25">
      <c r="A2" t="str">
        <f>Hmotnost_Syrovec!A2</f>
        <v>Z</v>
      </c>
      <c r="B2">
        <f>Hmotnost_Syrovec!B2</f>
        <v>18</v>
      </c>
      <c r="C2">
        <f>Hmotnost_Syrovec!C2</f>
        <v>158</v>
      </c>
      <c r="D2">
        <f>Hmotnost_Syrovec!D2</f>
        <v>50</v>
      </c>
      <c r="E2">
        <f>Hmotnost_Syrovec!E2</f>
        <v>20.03</v>
      </c>
    </row>
    <row r="3" spans="1:5" x14ac:dyDescent="0.25">
      <c r="A3" t="str">
        <f>Hmotnost_Syrovec!A3</f>
        <v>Z</v>
      </c>
      <c r="B3">
        <f>Hmotnost_Syrovec!B3</f>
        <v>18</v>
      </c>
      <c r="C3">
        <f>Hmotnost_Syrovec!C3</f>
        <v>169</v>
      </c>
      <c r="D3">
        <f>Hmotnost_Syrovec!D3</f>
        <v>60</v>
      </c>
      <c r="E3">
        <f>Hmotnost_Syrovec!E3</f>
        <v>21.01</v>
      </c>
    </row>
    <row r="4" spans="1:5" x14ac:dyDescent="0.25">
      <c r="A4" t="str">
        <f>Hmotnost_Syrovec!A4</f>
        <v>M</v>
      </c>
      <c r="B4">
        <f>Hmotnost_Syrovec!B4</f>
        <v>18</v>
      </c>
      <c r="C4">
        <f>Hmotnost_Syrovec!C4</f>
        <v>185</v>
      </c>
      <c r="D4">
        <f>Hmotnost_Syrovec!D4</f>
        <v>80</v>
      </c>
      <c r="E4">
        <f>Hmotnost_Syrovec!E4</f>
        <v>23.37</v>
      </c>
    </row>
    <row r="5" spans="1:5" x14ac:dyDescent="0.25">
      <c r="A5" t="str">
        <f>Hmotnost_Syrovec!A5</f>
        <v>M</v>
      </c>
      <c r="B5">
        <f>Hmotnost_Syrovec!B5</f>
        <v>18</v>
      </c>
      <c r="C5">
        <f>Hmotnost_Syrovec!C5</f>
        <v>184</v>
      </c>
      <c r="D5">
        <f>Hmotnost_Syrovec!D5</f>
        <v>75</v>
      </c>
      <c r="E5">
        <f>Hmotnost_Syrovec!E5</f>
        <v>22.15</v>
      </c>
    </row>
    <row r="6" spans="1:5" x14ac:dyDescent="0.25">
      <c r="A6" t="str">
        <f>Hmotnost_Syrovec!A6</f>
        <v>M</v>
      </c>
      <c r="B6">
        <f>Hmotnost_Syrovec!B6</f>
        <v>20</v>
      </c>
      <c r="C6">
        <f>Hmotnost_Syrovec!C6</f>
        <v>174</v>
      </c>
      <c r="D6">
        <f>Hmotnost_Syrovec!D6</f>
        <v>72</v>
      </c>
      <c r="E6">
        <f>Hmotnost_Syrovec!E6</f>
        <v>23.78</v>
      </c>
    </row>
    <row r="7" spans="1:5" x14ac:dyDescent="0.25">
      <c r="A7" t="str">
        <f>Hmotnost_Syrovec!A7</f>
        <v>M</v>
      </c>
      <c r="B7">
        <f>Hmotnost_Syrovec!B7</f>
        <v>19</v>
      </c>
      <c r="C7">
        <f>Hmotnost_Syrovec!C7</f>
        <v>191</v>
      </c>
      <c r="D7">
        <f>Hmotnost_Syrovec!D7</f>
        <v>89</v>
      </c>
      <c r="E7">
        <f>Hmotnost_Syrovec!E7</f>
        <v>24.4</v>
      </c>
    </row>
    <row r="8" spans="1:5" x14ac:dyDescent="0.25">
      <c r="A8" t="str">
        <f>Hmotnost_Syrovec!A8</f>
        <v>M</v>
      </c>
      <c r="B8">
        <f>Hmotnost_Syrovec!B8</f>
        <v>20</v>
      </c>
      <c r="C8">
        <f>Hmotnost_Syrovec!C8</f>
        <v>185</v>
      </c>
      <c r="D8">
        <f>Hmotnost_Syrovec!D8</f>
        <v>77</v>
      </c>
      <c r="E8">
        <f>Hmotnost_Syrovec!E8</f>
        <v>22.5</v>
      </c>
    </row>
    <row r="9" spans="1:5" x14ac:dyDescent="0.25">
      <c r="A9" t="str">
        <f>Hmotnost_Syrovec!A9</f>
        <v>Z</v>
      </c>
      <c r="B9">
        <f>Hmotnost_Syrovec!B9</f>
        <v>19</v>
      </c>
      <c r="C9">
        <f>Hmotnost_Syrovec!C9</f>
        <v>164</v>
      </c>
      <c r="D9">
        <f>Hmotnost_Syrovec!D9</f>
        <v>47</v>
      </c>
      <c r="E9">
        <f>Hmotnost_Syrovec!E9</f>
        <v>17.47</v>
      </c>
    </row>
    <row r="10" spans="1:5" x14ac:dyDescent="0.25">
      <c r="A10" t="str">
        <f>Hmotnost_Syrovec!A10</f>
        <v>Z</v>
      </c>
      <c r="B10">
        <f>Hmotnost_Syrovec!B10</f>
        <v>18</v>
      </c>
      <c r="C10">
        <f>Hmotnost_Syrovec!C10</f>
        <v>173</v>
      </c>
      <c r="D10">
        <f>Hmotnost_Syrovec!D10</f>
        <v>65</v>
      </c>
      <c r="E10">
        <f>Hmotnost_Syrovec!E10</f>
        <v>21.72</v>
      </c>
    </row>
    <row r="11" spans="1:5" x14ac:dyDescent="0.25">
      <c r="A11" t="str">
        <f>Hmotnost_Syrovec!A11</f>
        <v>Z</v>
      </c>
      <c r="B11">
        <f>Hmotnost_Syrovec!B11</f>
        <v>19</v>
      </c>
      <c r="C11">
        <f>Hmotnost_Syrovec!C11</f>
        <v>154</v>
      </c>
      <c r="D11">
        <f>Hmotnost_Syrovec!D11</f>
        <v>52</v>
      </c>
      <c r="E11">
        <f>Hmotnost_Syrovec!E11</f>
        <v>21.93</v>
      </c>
    </row>
    <row r="12" spans="1:5" x14ac:dyDescent="0.25">
      <c r="A12" t="str">
        <f>Hmotnost_Syrovec!A12</f>
        <v>Z</v>
      </c>
      <c r="B12">
        <f>Hmotnost_Syrovec!B12</f>
        <v>19</v>
      </c>
      <c r="C12">
        <f>Hmotnost_Syrovec!C12</f>
        <v>178</v>
      </c>
      <c r="D12">
        <f>Hmotnost_Syrovec!D12</f>
        <v>78</v>
      </c>
      <c r="E12">
        <f>Hmotnost_Syrovec!E12</f>
        <v>24.62</v>
      </c>
    </row>
    <row r="13" spans="1:5" x14ac:dyDescent="0.25">
      <c r="A13" t="str">
        <f>Hmotnost_Syrovec!A13</f>
        <v>M</v>
      </c>
      <c r="B13">
        <f>Hmotnost_Syrovec!B13</f>
        <v>18</v>
      </c>
      <c r="C13">
        <f>Hmotnost_Syrovec!C13</f>
        <v>176</v>
      </c>
      <c r="D13">
        <f>Hmotnost_Syrovec!D13</f>
        <v>74</v>
      </c>
      <c r="E13">
        <f>Hmotnost_Syrovec!E13</f>
        <v>23.89</v>
      </c>
    </row>
    <row r="14" spans="1:5" x14ac:dyDescent="0.25">
      <c r="A14" t="str">
        <f>Hmotnost_Syrovec!A14</f>
        <v>M</v>
      </c>
      <c r="B14">
        <f>Hmotnost_Syrovec!B14</f>
        <v>18</v>
      </c>
      <c r="C14">
        <f>Hmotnost_Syrovec!C14</f>
        <v>186</v>
      </c>
      <c r="D14">
        <f>Hmotnost_Syrovec!D14</f>
        <v>81</v>
      </c>
      <c r="E14">
        <f>Hmotnost_Syrovec!E14</f>
        <v>23.41</v>
      </c>
    </row>
    <row r="15" spans="1:5" x14ac:dyDescent="0.25">
      <c r="A15" t="str">
        <f>Hmotnost_Syrovec!A15</f>
        <v>M</v>
      </c>
      <c r="B15">
        <f>Hmotnost_Syrovec!B15</f>
        <v>19</v>
      </c>
      <c r="C15">
        <f>Hmotnost_Syrovec!C15</f>
        <v>195</v>
      </c>
      <c r="D15">
        <f>Hmotnost_Syrovec!D15</f>
        <v>79</v>
      </c>
      <c r="E15">
        <f>Hmotnost_Syrovec!E15</f>
        <v>20.78</v>
      </c>
    </row>
    <row r="16" spans="1:5" x14ac:dyDescent="0.25">
      <c r="A16" t="str">
        <f>Hmotnost_Syrovec!A16</f>
        <v>M</v>
      </c>
      <c r="B16">
        <f>Hmotnost_Syrovec!B16</f>
        <v>19</v>
      </c>
      <c r="C16">
        <f>Hmotnost_Syrovec!C16</f>
        <v>180</v>
      </c>
      <c r="D16">
        <f>Hmotnost_Syrovec!D16</f>
        <v>75</v>
      </c>
      <c r="E16">
        <f>Hmotnost_Syrovec!E16</f>
        <v>23.15</v>
      </c>
    </row>
    <row r="17" spans="1:5" x14ac:dyDescent="0.25">
      <c r="A17" t="str">
        <f>Hmotnost_Syrovec!A17</f>
        <v>Z</v>
      </c>
      <c r="B17">
        <f>Hmotnost_Syrovec!B17</f>
        <v>18</v>
      </c>
      <c r="C17">
        <f>Hmotnost_Syrovec!C17</f>
        <v>164</v>
      </c>
      <c r="D17">
        <f>Hmotnost_Syrovec!D17</f>
        <v>52</v>
      </c>
      <c r="E17">
        <f>Hmotnost_Syrovec!E17</f>
        <v>19.329999999999998</v>
      </c>
    </row>
    <row r="18" spans="1:5" x14ac:dyDescent="0.25">
      <c r="A18" t="str">
        <f>Hmotnost_Syrovec!A18</f>
        <v>Z</v>
      </c>
      <c r="B18">
        <f>Hmotnost_Syrovec!B18</f>
        <v>20</v>
      </c>
      <c r="C18">
        <f>Hmotnost_Syrovec!C18</f>
        <v>169</v>
      </c>
      <c r="D18">
        <f>Hmotnost_Syrovec!D18</f>
        <v>54</v>
      </c>
      <c r="E18">
        <f>Hmotnost_Syrovec!E18</f>
        <v>18.91</v>
      </c>
    </row>
    <row r="19" spans="1:5" x14ac:dyDescent="0.25">
      <c r="A19" t="str">
        <f>Hmotnost_Syrovec!A19</f>
        <v>M</v>
      </c>
      <c r="B19">
        <f>Hmotnost_Syrovec!B19</f>
        <v>19</v>
      </c>
      <c r="C19">
        <f>Hmotnost_Syrovec!C19</f>
        <v>184</v>
      </c>
      <c r="D19">
        <f>Hmotnost_Syrovec!D19</f>
        <v>77</v>
      </c>
      <c r="E19">
        <f>Hmotnost_Syrovec!E19</f>
        <v>22.74</v>
      </c>
    </row>
    <row r="20" spans="1:5" x14ac:dyDescent="0.25">
      <c r="A20" t="str">
        <f>Hmotnost_Syrovec!A20</f>
        <v>M</v>
      </c>
      <c r="B20">
        <f>Hmotnost_Syrovec!B20</f>
        <v>18</v>
      </c>
      <c r="C20">
        <f>Hmotnost_Syrovec!C20</f>
        <v>186</v>
      </c>
      <c r="D20">
        <f>Hmotnost_Syrovec!D20</f>
        <v>9</v>
      </c>
      <c r="E20">
        <f>Hmotnost_Syrovec!E20</f>
        <v>2.6</v>
      </c>
    </row>
    <row r="21" spans="1:5" x14ac:dyDescent="0.25">
      <c r="A21" t="str">
        <f>Hmotnost_Syrovec!A21</f>
        <v>M</v>
      </c>
      <c r="B21">
        <f>Hmotnost_Syrovec!B21</f>
        <v>18</v>
      </c>
      <c r="C21">
        <f>Hmotnost_Syrovec!C21</f>
        <v>183</v>
      </c>
      <c r="D21">
        <f>Hmotnost_Syrovec!D21</f>
        <v>70</v>
      </c>
      <c r="E21">
        <f>Hmotnost_Syrovec!E21</f>
        <v>20.9</v>
      </c>
    </row>
    <row r="22" spans="1:5" x14ac:dyDescent="0.25">
      <c r="A22" t="str">
        <f>Hmotnost_Syrovec!A22</f>
        <v>M</v>
      </c>
      <c r="B22">
        <f>Hmotnost_Syrovec!B22</f>
        <v>18</v>
      </c>
      <c r="C22">
        <f>Hmotnost_Syrovec!C22</f>
        <v>176</v>
      </c>
      <c r="D22">
        <f>Hmotnost_Syrovec!D22</f>
        <v>70</v>
      </c>
      <c r="E22">
        <f>Hmotnost_Syrovec!E22</f>
        <v>22.6</v>
      </c>
    </row>
    <row r="23" spans="1:5" x14ac:dyDescent="0.25">
      <c r="A23" t="str">
        <f>Hmotnost_Syrovec!A23</f>
        <v>M</v>
      </c>
      <c r="B23">
        <f>Hmotnost_Syrovec!B23</f>
        <v>19</v>
      </c>
      <c r="C23">
        <f>Hmotnost_Syrovec!C23</f>
        <v>187</v>
      </c>
      <c r="D23">
        <f>Hmotnost_Syrovec!D23</f>
        <v>84</v>
      </c>
      <c r="E23">
        <f>Hmotnost_Syrovec!E23</f>
        <v>24.02</v>
      </c>
    </row>
    <row r="24" spans="1:5" x14ac:dyDescent="0.25">
      <c r="A24" t="str">
        <f>Hmotnost_Syrovec!A24</f>
        <v>Z</v>
      </c>
      <c r="B24">
        <f>Hmotnost_Syrovec!B24</f>
        <v>18</v>
      </c>
      <c r="C24">
        <f>Hmotnost_Syrovec!C24</f>
        <v>173</v>
      </c>
      <c r="D24">
        <f>Hmotnost_Syrovec!D24</f>
        <v>68</v>
      </c>
      <c r="E24">
        <f>Hmotnost_Syrovec!E24</f>
        <v>22.72</v>
      </c>
    </row>
    <row r="25" spans="1:5" x14ac:dyDescent="0.25">
      <c r="A25" t="str">
        <f>Hmotnost_Syrovec!A25</f>
        <v>Z</v>
      </c>
      <c r="B25">
        <f>Hmotnost_Syrovec!B25</f>
        <v>19</v>
      </c>
      <c r="C25">
        <f>Hmotnost_Syrovec!C25</f>
        <v>170</v>
      </c>
      <c r="D25">
        <f>Hmotnost_Syrovec!D25</f>
        <v>60</v>
      </c>
      <c r="E25">
        <f>Hmotnost_Syrovec!E25</f>
        <v>20.76</v>
      </c>
    </row>
    <row r="26" spans="1:5" x14ac:dyDescent="0.25">
      <c r="A26" t="str">
        <f>Hmotnost_Syrovec!A26</f>
        <v>Z</v>
      </c>
      <c r="B26">
        <f>Hmotnost_Syrovec!B26</f>
        <v>18</v>
      </c>
      <c r="C26">
        <f>Hmotnost_Syrovec!C26</f>
        <v>160</v>
      </c>
      <c r="D26">
        <f>Hmotnost_Syrovec!D26</f>
        <v>50</v>
      </c>
      <c r="E26">
        <f>Hmotnost_Syrovec!E26</f>
        <v>19.53</v>
      </c>
    </row>
    <row r="27" spans="1:5" x14ac:dyDescent="0.25">
      <c r="A27" t="str">
        <f>Hmotnost_Syrovec!A27</f>
        <v>Z</v>
      </c>
      <c r="B27">
        <f>Hmotnost_Syrovec!B27</f>
        <v>18</v>
      </c>
      <c r="C27">
        <f>Hmotnost_Syrovec!C27</f>
        <v>168</v>
      </c>
      <c r="D27">
        <f>Hmotnost_Syrovec!D27</f>
        <v>58</v>
      </c>
      <c r="E27">
        <f>Hmotnost_Syrovec!E27</f>
        <v>20.55</v>
      </c>
    </row>
    <row r="28" spans="1:5" x14ac:dyDescent="0.25">
      <c r="A28" t="str">
        <f>Hmotnost_Syrovec!A28</f>
        <v>Z</v>
      </c>
      <c r="B28">
        <f>Hmotnost_Syrovec!B28</f>
        <v>18</v>
      </c>
      <c r="C28">
        <f>Hmotnost_Syrovec!C28</f>
        <v>168</v>
      </c>
      <c r="D28">
        <f>Hmotnost_Syrovec!D28</f>
        <v>62</v>
      </c>
      <c r="E28">
        <f>Hmotnost_Syrovec!E28</f>
        <v>21.97</v>
      </c>
    </row>
    <row r="29" spans="1:5" x14ac:dyDescent="0.25">
      <c r="A29" t="str">
        <f>Hmotnost_Syrovec!A29</f>
        <v>M</v>
      </c>
      <c r="B29">
        <f>Hmotnost_Syrovec!B29</f>
        <v>20</v>
      </c>
      <c r="C29">
        <f>Hmotnost_Syrovec!C29</f>
        <v>182</v>
      </c>
      <c r="D29">
        <f>Hmotnost_Syrovec!D29</f>
        <v>70</v>
      </c>
      <c r="E29">
        <f>Hmotnost_Syrovec!E29</f>
        <v>21.13</v>
      </c>
    </row>
    <row r="30" spans="1:5" x14ac:dyDescent="0.25">
      <c r="A30" t="str">
        <f>Hmotnost_Syrovec!A30</f>
        <v>M</v>
      </c>
      <c r="B30">
        <f>Hmotnost_Syrovec!B30</f>
        <v>20</v>
      </c>
      <c r="C30">
        <f>Hmotnost_Syrovec!C30</f>
        <v>172</v>
      </c>
      <c r="D30">
        <f>Hmotnost_Syrovec!D30</f>
        <v>57</v>
      </c>
      <c r="E30">
        <f>Hmotnost_Syrovec!E30</f>
        <v>19.27</v>
      </c>
    </row>
    <row r="31" spans="1:5" x14ac:dyDescent="0.25">
      <c r="A31" t="str">
        <f>Hmotnost_Syrovec!A31</f>
        <v>Z</v>
      </c>
      <c r="B31">
        <f>Hmotnost_Syrovec!B31</f>
        <v>18</v>
      </c>
      <c r="C31">
        <f>Hmotnost_Syrovec!C31</f>
        <v>160</v>
      </c>
      <c r="D31">
        <f>Hmotnost_Syrovec!D31</f>
        <v>54</v>
      </c>
      <c r="E31">
        <f>Hmotnost_Syrovec!E31</f>
        <v>21.09</v>
      </c>
    </row>
    <row r="32" spans="1:5" x14ac:dyDescent="0.25">
      <c r="A32" t="str">
        <f>Hmotnost_Syrovec!A32</f>
        <v>M</v>
      </c>
      <c r="B32">
        <f>Hmotnost_Syrovec!B32</f>
        <v>18</v>
      </c>
      <c r="C32">
        <f>Hmotnost_Syrovec!C32</f>
        <v>182</v>
      </c>
      <c r="D32">
        <f>Hmotnost_Syrovec!D32</f>
        <v>80</v>
      </c>
      <c r="E32">
        <f>Hmotnost_Syrovec!E32</f>
        <v>24.15</v>
      </c>
    </row>
    <row r="33" spans="1:5" x14ac:dyDescent="0.25">
      <c r="A33" t="str">
        <f>Hmotnost_Syrovec!A33</f>
        <v>M</v>
      </c>
      <c r="B33">
        <f>Hmotnost_Syrovec!B33</f>
        <v>18</v>
      </c>
      <c r="C33">
        <f>Hmotnost_Syrovec!C33</f>
        <v>180</v>
      </c>
      <c r="D33">
        <f>Hmotnost_Syrovec!D33</f>
        <v>65</v>
      </c>
      <c r="E33">
        <f>Hmotnost_Syrovec!E33</f>
        <v>20.059999999999999</v>
      </c>
    </row>
    <row r="34" spans="1:5" x14ac:dyDescent="0.25">
      <c r="A34" t="str">
        <f>Hmotnost_Syrovec!A34</f>
        <v>M</v>
      </c>
      <c r="B34">
        <f>Hmotnost_Syrovec!B34</f>
        <v>18</v>
      </c>
      <c r="C34">
        <f>Hmotnost_Syrovec!C34</f>
        <v>178</v>
      </c>
      <c r="D34">
        <f>Hmotnost_Syrovec!D34</f>
        <v>50</v>
      </c>
      <c r="E34">
        <f>Hmotnost_Syrovec!E34</f>
        <v>15.78</v>
      </c>
    </row>
    <row r="35" spans="1:5" x14ac:dyDescent="0.25">
      <c r="A35" t="str">
        <f>Hmotnost_Syrovec!A35</f>
        <v>M</v>
      </c>
      <c r="B35">
        <f>Hmotnost_Syrovec!B35</f>
        <v>19</v>
      </c>
      <c r="C35">
        <f>Hmotnost_Syrovec!C35</f>
        <v>180</v>
      </c>
      <c r="D35">
        <f>Hmotnost_Syrovec!D35</f>
        <v>65</v>
      </c>
      <c r="E35">
        <f>Hmotnost_Syrovec!E35</f>
        <v>20.059999999999999</v>
      </c>
    </row>
    <row r="36" spans="1:5" x14ac:dyDescent="0.25">
      <c r="A36" t="str">
        <f>Hmotnost_Syrovec!A36</f>
        <v>M</v>
      </c>
      <c r="B36">
        <f>Hmotnost_Syrovec!B36</f>
        <v>18</v>
      </c>
      <c r="C36">
        <f>Hmotnost_Syrovec!C36</f>
        <v>172</v>
      </c>
      <c r="D36">
        <f>Hmotnost_Syrovec!D36</f>
        <v>68</v>
      </c>
      <c r="E36">
        <f>Hmotnost_Syrovec!E36</f>
        <v>22.99</v>
      </c>
    </row>
    <row r="37" spans="1:5" x14ac:dyDescent="0.25">
      <c r="A37" t="str">
        <f>Hmotnost_Syrovec!A37</f>
        <v>M</v>
      </c>
      <c r="B37">
        <f>Hmotnost_Syrovec!B37</f>
        <v>20</v>
      </c>
      <c r="C37">
        <f>Hmotnost_Syrovec!C37</f>
        <v>182</v>
      </c>
      <c r="D37">
        <f>Hmotnost_Syrovec!D37</f>
        <v>100</v>
      </c>
      <c r="E37">
        <f>Hmotnost_Syrovec!E37</f>
        <v>30.19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A887-3479-48CC-8086-8367D1AC243B}">
  <sheetPr>
    <tabColor rgb="FFFF0000"/>
  </sheetPr>
  <dimension ref="A1:AK1"/>
  <sheetViews>
    <sheetView workbookViewId="0">
      <selection sqref="A1:AK1"/>
    </sheetView>
  </sheetViews>
  <sheetFormatPr defaultRowHeight="15" x14ac:dyDescent="0.25"/>
  <sheetData>
    <row r="1" spans="1:37" x14ac:dyDescent="0.25">
      <c r="A1" s="2" t="s">
        <v>3</v>
      </c>
      <c r="B1" s="3">
        <v>20.03</v>
      </c>
      <c r="C1" s="3">
        <v>21.01</v>
      </c>
      <c r="D1" s="3">
        <v>23.37</v>
      </c>
      <c r="E1" s="3">
        <v>22.15</v>
      </c>
      <c r="F1" s="3">
        <v>23.78</v>
      </c>
      <c r="G1" s="3">
        <v>24.4</v>
      </c>
      <c r="H1" s="3">
        <v>22.5</v>
      </c>
      <c r="I1" s="3">
        <v>17.47</v>
      </c>
      <c r="J1" s="3">
        <v>21.72</v>
      </c>
      <c r="K1" s="3">
        <v>21.93</v>
      </c>
      <c r="L1" s="3">
        <v>24.62</v>
      </c>
      <c r="M1" s="3">
        <v>23.89</v>
      </c>
      <c r="N1" s="3">
        <v>23.41</v>
      </c>
      <c r="O1" s="3">
        <v>20.78</v>
      </c>
      <c r="P1" s="3">
        <v>23.15</v>
      </c>
      <c r="Q1" s="3">
        <v>19.329999999999998</v>
      </c>
      <c r="R1" s="3">
        <v>18.91</v>
      </c>
      <c r="S1" s="3">
        <v>22.74</v>
      </c>
      <c r="T1" s="3">
        <v>2.6</v>
      </c>
      <c r="U1" s="3">
        <v>20.9</v>
      </c>
      <c r="V1" s="3">
        <v>22.6</v>
      </c>
      <c r="W1" s="3">
        <v>24.02</v>
      </c>
      <c r="X1" s="3">
        <v>22.72</v>
      </c>
      <c r="Y1" s="3">
        <v>20.76</v>
      </c>
      <c r="Z1" s="3">
        <v>19.53</v>
      </c>
      <c r="AA1" s="3">
        <v>20.55</v>
      </c>
      <c r="AB1" s="3">
        <v>21.97</v>
      </c>
      <c r="AC1" s="3">
        <v>21.13</v>
      </c>
      <c r="AD1" s="3">
        <v>19.27</v>
      </c>
      <c r="AE1" s="3">
        <v>21.09</v>
      </c>
      <c r="AF1" s="3">
        <v>24.15</v>
      </c>
      <c r="AG1" s="3">
        <v>20.059999999999999</v>
      </c>
      <c r="AH1" s="3">
        <v>15.78</v>
      </c>
      <c r="AI1" s="3">
        <v>20.059999999999999</v>
      </c>
      <c r="AJ1" s="3">
        <v>22.99</v>
      </c>
      <c r="AK1" s="3">
        <v>30.19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1</vt:i4>
      </vt:variant>
    </vt:vector>
  </HeadingPairs>
  <TitlesOfParts>
    <vt:vector size="4" baseType="lpstr">
      <vt:lpstr>Hmotnost_Syrovec</vt:lpstr>
      <vt:lpstr>propojení</vt:lpstr>
      <vt:lpstr>transpon</vt:lpstr>
      <vt:lpstr>Hmotnost_Syrovec!hmostnost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Syrovec</dc:creator>
  <cp:lastModifiedBy>Jan Syrovec</cp:lastModifiedBy>
  <dcterms:created xsi:type="dcterms:W3CDTF">2025-10-02T06:19:30Z</dcterms:created>
  <dcterms:modified xsi:type="dcterms:W3CDTF">2025-10-02T06:36:50Z</dcterms:modified>
</cp:coreProperties>
</file>