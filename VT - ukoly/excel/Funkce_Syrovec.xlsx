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8_{4CDDBFD1-FD9C-43B2-9F05-421A1E0E452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ta" sheetId="1" r:id="rId1"/>
    <sheet name="TRANSPON" sheetId="3" r:id="rId2"/>
    <sheet name="OBLAST" sheetId="4" r:id="rId3"/>
    <sheet name="řazení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9" i="2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S17" i="3"/>
  <c r="S20" i="3" s="1"/>
  <c r="R17" i="3"/>
  <c r="R20" i="3" s="1"/>
  <c r="Q17" i="3"/>
  <c r="Q20" i="3" s="1"/>
  <c r="P17" i="3"/>
  <c r="P20" i="3" s="1"/>
  <c r="O17" i="3"/>
  <c r="O20" i="3" s="1"/>
  <c r="N17" i="3"/>
  <c r="N20" i="3" s="1"/>
  <c r="M17" i="3"/>
  <c r="M20" i="3" s="1"/>
  <c r="L17" i="3"/>
  <c r="L20" i="3" s="1"/>
  <c r="K17" i="3"/>
  <c r="K20" i="3" s="1"/>
  <c r="J17" i="3"/>
  <c r="J20" i="3" s="1"/>
  <c r="I17" i="3"/>
  <c r="I20" i="3" s="1"/>
  <c r="H17" i="3"/>
  <c r="H20" i="3" s="1"/>
  <c r="G17" i="3"/>
  <c r="G20" i="3" s="1"/>
  <c r="F17" i="3"/>
  <c r="F20" i="3" s="1"/>
  <c r="E17" i="3"/>
  <c r="E20" i="3" s="1"/>
  <c r="D17" i="3"/>
  <c r="D20" i="3" s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16" i="1"/>
</calcChain>
</file>

<file path=xl/sharedStrings.xml><?xml version="1.0" encoding="utf-8"?>
<sst xmlns="http://schemas.openxmlformats.org/spreadsheetml/2006/main" count="241" uniqueCount="138">
  <si>
    <t>CH</t>
  </si>
  <si>
    <t>OTŽ</t>
  </si>
  <si>
    <t>ODH</t>
  </si>
  <si>
    <t>IKT</t>
  </si>
  <si>
    <t>SAV</t>
  </si>
  <si>
    <t>MŽP</t>
  </si>
  <si>
    <t>ABP</t>
  </si>
  <si>
    <t>ANJ</t>
  </si>
  <si>
    <t>OKZ</t>
  </si>
  <si>
    <t>PŽP</t>
  </si>
  <si>
    <t>EVI</t>
  </si>
  <si>
    <t>KOD</t>
  </si>
  <si>
    <t>HPG</t>
  </si>
  <si>
    <t>ÚKOLY:</t>
  </si>
  <si>
    <t>Králíček Pavel</t>
  </si>
  <si>
    <t>Provazník František</t>
  </si>
  <si>
    <t>Vacová Jarmila</t>
  </si>
  <si>
    <t>Kašparová Lucie</t>
  </si>
  <si>
    <t>Šíp Jaromír</t>
  </si>
  <si>
    <t>Hála Miroslav</t>
  </si>
  <si>
    <t>Janecký Miloš</t>
  </si>
  <si>
    <t>Kujal František</t>
  </si>
  <si>
    <t>Holovský Antonín</t>
  </si>
  <si>
    <t>Škodová Jana</t>
  </si>
  <si>
    <t>Novák Michal</t>
  </si>
  <si>
    <t>Gloserová Vlasta</t>
  </si>
  <si>
    <t>Fejt Jaroslav</t>
  </si>
  <si>
    <t>Cetkovská Marie</t>
  </si>
  <si>
    <t>Motyčka Alois</t>
  </si>
  <si>
    <t>Novák Adolf</t>
  </si>
  <si>
    <t>1.</t>
  </si>
  <si>
    <t>2.</t>
  </si>
  <si>
    <t>3.</t>
  </si>
  <si>
    <t>4.</t>
  </si>
  <si>
    <t>5.</t>
  </si>
  <si>
    <t>6.</t>
  </si>
  <si>
    <t>7.</t>
  </si>
  <si>
    <t>8.</t>
  </si>
  <si>
    <t>JMÉNA</t>
  </si>
  <si>
    <t>9.</t>
  </si>
  <si>
    <t>10.</t>
  </si>
  <si>
    <t>11.</t>
  </si>
  <si>
    <t>Spočítejte u jednotlivých studentů počet všech známek větších nebo rovných 3 a dále určete jejich součet (větších nebo rovno 3)</t>
  </si>
  <si>
    <t>12.</t>
  </si>
  <si>
    <t>Vložte druhou odmocninu z průměru jednotlivých předmětů a u výsledků zobrazte jen 2 desetinná místa</t>
  </si>
  <si>
    <t>Na konec tabulky přidejte sloupec, kde zvětšíte hodnotu chování (CH) o číslo 24, pro výpočet použijte absolutní odkazování</t>
  </si>
  <si>
    <t>Pod tabulku vložte funkci na určení počtu čísel a počtu obsazených buněk z oblasti B15:O31, buňky obsahující výpočet vhodně pojmenujte a použijte ohraničení a zvýraznění jejich popisu</t>
  </si>
  <si>
    <t>Nastavte vzhled stránky na šířku, do záhlaví vložte pole čas vlevo a pak vaše jméno vpravo</t>
  </si>
  <si>
    <t>Jméno a příjmení</t>
  </si>
  <si>
    <t>Rok narození</t>
  </si>
  <si>
    <t>Pohlaví</t>
  </si>
  <si>
    <t>Děti</t>
  </si>
  <si>
    <t>Adamcova Anna</t>
  </si>
  <si>
    <t>žena</t>
  </si>
  <si>
    <t>Ambrožová Michaela</t>
  </si>
  <si>
    <t>Andrlová Jana</t>
  </si>
  <si>
    <t>Baffi Jiří</t>
  </si>
  <si>
    <t>muž</t>
  </si>
  <si>
    <t>Balážová Kateřina</t>
  </si>
  <si>
    <t>Běloušková Dana</t>
  </si>
  <si>
    <t>Beneš Pavel</t>
  </si>
  <si>
    <t>Bohušová Sabina</t>
  </si>
  <si>
    <t>Borovičková Helena</t>
  </si>
  <si>
    <t>Bubáková Radka</t>
  </si>
  <si>
    <t>Buldrová Pavla</t>
  </si>
  <si>
    <t>Buriánová Hana</t>
  </si>
  <si>
    <t>Ciprová Monika</t>
  </si>
  <si>
    <t>Cuprišinová Veronika</t>
  </si>
  <si>
    <t>Čechmanová Soňa</t>
  </si>
  <si>
    <t>Černá Jana</t>
  </si>
  <si>
    <t>Čízek Lukáš</t>
  </si>
  <si>
    <t>Danielová Gabriela</t>
  </si>
  <si>
    <t>Doležallová Eva</t>
  </si>
  <si>
    <t>Dostalová Johana</t>
  </si>
  <si>
    <t>Dušková Marie</t>
  </si>
  <si>
    <t>Dymáková Alena</t>
  </si>
  <si>
    <t>Eclerová Kristína</t>
  </si>
  <si>
    <t>Fořtová Lucie</t>
  </si>
  <si>
    <t>Haltuchová Nela</t>
  </si>
  <si>
    <t>Hamplová Petra</t>
  </si>
  <si>
    <t>Hanušová Daniela</t>
  </si>
  <si>
    <t>Havelka David</t>
  </si>
  <si>
    <t>Chválová Ivana</t>
  </si>
  <si>
    <t>Chytilová Kamila</t>
  </si>
  <si>
    <t>Jirousková Jana</t>
  </si>
  <si>
    <t>Jonášová Tereza</t>
  </si>
  <si>
    <t>Jůzová Iva</t>
  </si>
  <si>
    <t>Kacetlová Edita</t>
  </si>
  <si>
    <t>Kudlačeková Emilie</t>
  </si>
  <si>
    <t>Kulhánek Aleš</t>
  </si>
  <si>
    <t>Kvasnička David</t>
  </si>
  <si>
    <t>Ležovičová Lucie</t>
  </si>
  <si>
    <t>Licková Monika</t>
  </si>
  <si>
    <t>Lišková Lucie</t>
  </si>
  <si>
    <t>Lučanová Hana</t>
  </si>
  <si>
    <t>Maršíková Ivona</t>
  </si>
  <si>
    <t>Menčíková Alice</t>
  </si>
  <si>
    <t>Mikanová Miroslava</t>
  </si>
  <si>
    <t>Moravcová Eliška</t>
  </si>
  <si>
    <t>Mrkvičková Šárka</t>
  </si>
  <si>
    <t>Naušová Martina</t>
  </si>
  <si>
    <t>Nová Iveta</t>
  </si>
  <si>
    <t>Novotná Darina</t>
  </si>
  <si>
    <t>Oravcová Martina</t>
  </si>
  <si>
    <t>Pecháček Martin</t>
  </si>
  <si>
    <t>Pěšková Kateřina</t>
  </si>
  <si>
    <t>Pilařová Iveta</t>
  </si>
  <si>
    <t>Pospíšilová Pavlína</t>
  </si>
  <si>
    <t>Poživilová Nina</t>
  </si>
  <si>
    <t>Racíková Lucie</t>
  </si>
  <si>
    <t>Rybičková Karolína</t>
  </si>
  <si>
    <t>Sádovská Jiřina</t>
  </si>
  <si>
    <t>Saidlová Ilona</t>
  </si>
  <si>
    <t>Sedlák Radek</t>
  </si>
  <si>
    <t>Spěváková Kateřina</t>
  </si>
  <si>
    <t>Stará Anna</t>
  </si>
  <si>
    <t>Suchánek Robert</t>
  </si>
  <si>
    <t>Šalamounová Zuzana</t>
  </si>
  <si>
    <t>Šandová Marie</t>
  </si>
  <si>
    <t>Spočítejte průměry za jednotlivé předměty a zobrazte u čísla 3 desetinná místa, dále pak použijte funkce pro zobrazení nejlepší a nejhorší známky z předmětu</t>
  </si>
  <si>
    <t>Pomocí podmíněného formátování zvýrazněte pouze známky 1 a 2 =&gt; tučná kurzíva, barva písma a pozadí buňky jiné než zbytek tabulky</t>
  </si>
  <si>
    <t>Sloupec zformátujte jako zbytek tabulky (ohraničení, výplň)</t>
  </si>
  <si>
    <t>Seřaďte tabulku podle roku narození vzestupně a podle počtu dětí sestupně</t>
  </si>
  <si>
    <t>Zadejte opakování záhlaví tabulky a v Náhledu tisku zkopírujte druhou stránku celého okna programu MS Excel</t>
  </si>
  <si>
    <t>Obrázek vložte do tohoto listu do buňky J8, výška obrázku 15 cm, zachovejte poměr stran</t>
  </si>
  <si>
    <t>Do sloupce E vložte funkci, která zobrazí zda je ve sloupci C uvedena žena, nebo muž</t>
  </si>
  <si>
    <t>Skryjte sloupec s předmětem MŽP a nezapomeňte ohraničit veškeré výpočty, jedná se o postupně zvětšovanou tabulku</t>
  </si>
  <si>
    <t>Veškeré funkce, které budete při dalších výpočtech používat budou vhodně pojmenované a vše bude ohraničené v tabulce (zvýrazněné záhlaví tabulky a sloupec Jména)</t>
  </si>
  <si>
    <t>Na nový list pojmenovaný TRANSPON vložte tabulku transponovaně do buňky C3 a jako obrázek do buňky C25 (výška obrázku 10 cm, zachovejte poměr stran)</t>
  </si>
  <si>
    <t>Na nový list pojmenovaný OBLAST vložte Náhled tisku (celé okno) kde bude zobrazena oblast tisku B15:G31 (výška obrázku 10 cm, zachovejte poměr stran)</t>
  </si>
  <si>
    <t>Seřadte tabulku podle sloupce Jména vzestupně, ohraničte počítanou oblast jako tabulku (vnitřní a vnější ohraničení) a vhodně barevně upravte</t>
  </si>
  <si>
    <t>PRŮMĚR</t>
  </si>
  <si>
    <t>NEJLEPŠÍ</t>
  </si>
  <si>
    <t>NEJHORŠÍ</t>
  </si>
  <si>
    <t>DRUHÁ ODM</t>
  </si>
  <si>
    <t>3 A VYŠŠÍ</t>
  </si>
  <si>
    <t>CH + 24</t>
  </si>
  <si>
    <t>Žena nebo muž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</si>
</sst>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_ ;\-0.0\ "/>
    <numFmt numFmtId="165" formatCode="0.000"/>
  </numFmts>
  <fonts count="1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i/>
      <sz val="10"/>
      <color indexed="9"/>
      <name val="Arial"/>
      <family val="2"/>
      <charset val="238"/>
    </font>
    <font>
      <sz val="10"/>
      <color indexed="8"/>
      <name val="Arial"/>
      <family val="2"/>
      <charset val="238"/>
    </font>
    <font>
      <sz val="11"/>
      <color rgb="FF3F3F76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6"/>
        <bgColor indexed="24"/>
      </patternFill>
    </fill>
    <fill>
      <patternFill patternType="darkGray">
        <fgColor indexed="9"/>
        <bgColor indexed="13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43" fontId="6" fillId="0" borderId="0" applyFont="0" applyFill="0" applyBorder="0" applyAlignment="0" applyProtection="0"/>
    <xf numFmtId="0" fontId="9" fillId="5" borderId="2" applyNumberFormat="0" applyAlignment="0" applyProtection="0"/>
    <xf numFmtId="0" fontId="10" fillId="6" borderId="3" applyNumberFormat="0" applyAlignment="0" applyProtection="0"/>
    <xf numFmtId="0" fontId="6" fillId="7" borderId="4" applyNumberFormat="0" applyFont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0" xfId="0" applyFont="1" applyFill="1"/>
    <xf numFmtId="0" fontId="0" fillId="0" borderId="0" xfId="0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164" fontId="0" fillId="0" borderId="0" xfId="2" applyNumberFormat="1" applyFont="1"/>
    <xf numFmtId="0" fontId="10" fillId="6" borderId="3" xfId="4"/>
    <xf numFmtId="0" fontId="10" fillId="6" borderId="5" xfId="4" applyBorder="1"/>
    <xf numFmtId="0" fontId="10" fillId="6" borderId="6" xfId="4" applyBorder="1" applyAlignment="1">
      <alignment horizontal="center"/>
    </xf>
    <xf numFmtId="0" fontId="1" fillId="7" borderId="1" xfId="5" applyFont="1" applyBorder="1" applyAlignment="1">
      <alignment horizontal="center"/>
    </xf>
    <xf numFmtId="0" fontId="2" fillId="7" borderId="1" xfId="5" applyFont="1" applyBorder="1" applyAlignment="1">
      <alignment horizontal="center"/>
    </xf>
    <xf numFmtId="0" fontId="9" fillId="5" borderId="1" xfId="3" applyBorder="1"/>
    <xf numFmtId="2" fontId="9" fillId="5" borderId="1" xfId="3" applyNumberFormat="1" applyBorder="1"/>
    <xf numFmtId="0" fontId="1" fillId="7" borderId="7" xfId="5" applyFont="1" applyBorder="1" applyAlignment="1">
      <alignment horizontal="center"/>
    </xf>
    <xf numFmtId="0" fontId="1" fillId="7" borderId="8" xfId="5" applyFont="1" applyBorder="1" applyAlignment="1">
      <alignment horizontal="center"/>
    </xf>
    <xf numFmtId="0" fontId="2" fillId="7" borderId="8" xfId="5" applyFont="1" applyBorder="1" applyAlignment="1">
      <alignment horizontal="center"/>
    </xf>
    <xf numFmtId="0" fontId="1" fillId="7" borderId="9" xfId="5" applyFont="1" applyBorder="1" applyAlignment="1">
      <alignment horizontal="center"/>
    </xf>
    <xf numFmtId="0" fontId="1" fillId="7" borderId="10" xfId="5" applyFont="1" applyBorder="1" applyAlignment="1">
      <alignment horizontal="center"/>
    </xf>
    <xf numFmtId="0" fontId="1" fillId="7" borderId="11" xfId="5" applyFont="1" applyBorder="1" applyAlignment="1">
      <alignment horizontal="center"/>
    </xf>
    <xf numFmtId="0" fontId="1" fillId="7" borderId="12" xfId="5" applyFont="1" applyBorder="1" applyAlignment="1">
      <alignment horizontal="center"/>
    </xf>
    <xf numFmtId="0" fontId="1" fillId="7" borderId="13" xfId="5" applyFont="1" applyBorder="1" applyAlignment="1">
      <alignment horizontal="center"/>
    </xf>
    <xf numFmtId="0" fontId="1" fillId="7" borderId="14" xfId="5" applyFont="1" applyBorder="1" applyAlignment="1">
      <alignment horizontal="center"/>
    </xf>
    <xf numFmtId="165" fontId="9" fillId="5" borderId="7" xfId="3" applyNumberFormat="1" applyBorder="1"/>
    <xf numFmtId="0" fontId="9" fillId="5" borderId="8" xfId="3" applyBorder="1"/>
    <xf numFmtId="2" fontId="9" fillId="5" borderId="8" xfId="3" applyNumberFormat="1" applyBorder="1"/>
    <xf numFmtId="0" fontId="9" fillId="5" borderId="9" xfId="3" applyBorder="1"/>
    <xf numFmtId="165" fontId="9" fillId="5" borderId="10" xfId="3" applyNumberFormat="1" applyBorder="1"/>
    <xf numFmtId="0" fontId="9" fillId="5" borderId="11" xfId="3" applyBorder="1"/>
    <xf numFmtId="165" fontId="9" fillId="5" borderId="12" xfId="3" applyNumberFormat="1" applyBorder="1"/>
    <xf numFmtId="0" fontId="9" fillId="5" borderId="13" xfId="3" applyBorder="1"/>
    <xf numFmtId="2" fontId="9" fillId="5" borderId="13" xfId="3" applyNumberFormat="1" applyBorder="1"/>
    <xf numFmtId="0" fontId="9" fillId="5" borderId="14" xfId="3" applyBorder="1"/>
  </cellXfs>
  <cellStyles count="6">
    <cellStyle name="Čárka" xfId="2" builtinId="3"/>
    <cellStyle name="Kontrolní buňka" xfId="4" builtinId="23"/>
    <cellStyle name="Normální" xfId="0" builtinId="0"/>
    <cellStyle name="Normální 2" xfId="1" xr:uid="{00000000-0005-0000-0000-000001000000}"/>
    <cellStyle name="Poznámka" xfId="5" builtinId="10"/>
    <cellStyle name="Vstup" xfId="3" builtinId="20"/>
  </cellStyles>
  <dxfs count="11">
    <dxf>
      <font>
        <b/>
        <i/>
      </font>
      <fill>
        <patternFill>
          <bgColor theme="6"/>
        </patternFill>
      </fill>
    </dxf>
    <dxf>
      <font>
        <b/>
        <i/>
      </font>
      <fill>
        <patternFill>
          <bgColor theme="6"/>
        </patternFill>
      </fill>
    </dxf>
    <dxf>
      <font>
        <b/>
        <i/>
      </font>
      <fill>
        <patternFill>
          <bgColor theme="6"/>
        </patternFill>
      </fill>
    </dxf>
    <dxf>
      <font>
        <b/>
        <i/>
      </font>
      <fill>
        <patternFill>
          <bgColor theme="6"/>
        </patternFill>
      </fill>
    </dxf>
    <dxf>
      <font>
        <b/>
        <i/>
      </font>
      <fill>
        <patternFill>
          <bgColor theme="6"/>
        </patternFill>
      </fill>
    </dxf>
    <dxf>
      <font>
        <b/>
        <i/>
      </font>
      <fill>
        <patternFill>
          <bgColor theme="6"/>
        </patternFill>
      </fill>
    </dxf>
    <dxf>
      <font>
        <b/>
        <i/>
      </font>
      <fill>
        <patternFill>
          <bgColor theme="6"/>
        </patternFill>
      </fill>
    </dxf>
    <dxf>
      <font>
        <b/>
        <i/>
      </font>
      <fill>
        <patternFill>
          <bgColor theme="6"/>
        </patternFill>
      </fill>
    </dxf>
    <dxf>
      <font>
        <b/>
        <i/>
      </font>
      <fill>
        <patternFill>
          <bgColor theme="6"/>
        </patternFill>
      </fill>
    </dxf>
    <dxf>
      <font>
        <b/>
        <i/>
      </font>
      <fill>
        <patternFill>
          <bgColor theme="6"/>
        </patternFill>
      </fill>
    </dxf>
    <dxf>
      <font>
        <b/>
        <i/>
        <strike val="0"/>
        <color theme="1" tint="4.9989318521683403E-2"/>
      </font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190499</xdr:rowOff>
    </xdr:from>
    <xdr:to>
      <xdr:col>25</xdr:col>
      <xdr:colOff>417600</xdr:colOff>
      <xdr:row>42</xdr:row>
      <xdr:rowOff>170999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291B0A16-24E1-0286-5F33-99FB6A879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62524"/>
          <a:ext cx="14438400" cy="36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53600</xdr:colOff>
      <xdr:row>18</xdr:row>
      <xdr:rowOff>171000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A95D14F7-C5F1-7B8E-F4AF-1017CD109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40000" cy="36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7</xdr:row>
      <xdr:rowOff>0</xdr:rowOff>
    </xdr:from>
    <xdr:to>
      <xdr:col>24</xdr:col>
      <xdr:colOff>173185</xdr:colOff>
      <xdr:row>35</xdr:row>
      <xdr:rowOff>66000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FD61D92B-5EC5-F50F-02B4-38FD4FCEB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1" y="1333500"/>
          <a:ext cx="10031559" cy="5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3"/>
  <sheetViews>
    <sheetView view="pageLayout" zoomScaleNormal="100" workbookViewId="0">
      <selection activeCell="B15" sqref="B15:U31"/>
    </sheetView>
  </sheetViews>
  <sheetFormatPr defaultRowHeight="15" x14ac:dyDescent="0.25"/>
  <cols>
    <col min="2" max="2" width="23" customWidth="1"/>
    <col min="8" max="8" width="8.7109375" hidden="1" customWidth="1"/>
    <col min="17" max="17" width="11.140625" customWidth="1"/>
    <col min="18" max="18" width="11.7109375" customWidth="1"/>
    <col min="19" max="19" width="13.140625" customWidth="1"/>
    <col min="20" max="20" width="12.42578125" customWidth="1"/>
  </cols>
  <sheetData>
    <row r="1" spans="1:21" x14ac:dyDescent="0.25">
      <c r="A1" s="2" t="s">
        <v>13</v>
      </c>
    </row>
    <row r="2" spans="1:21" x14ac:dyDescent="0.25">
      <c r="A2" s="3" t="s">
        <v>30</v>
      </c>
      <c r="B2" t="s">
        <v>130</v>
      </c>
    </row>
    <row r="3" spans="1:21" x14ac:dyDescent="0.25">
      <c r="A3" s="3" t="s">
        <v>31</v>
      </c>
      <c r="B3" t="s">
        <v>127</v>
      </c>
    </row>
    <row r="4" spans="1:21" x14ac:dyDescent="0.25">
      <c r="A4" s="3" t="s">
        <v>32</v>
      </c>
      <c r="B4" t="s">
        <v>119</v>
      </c>
    </row>
    <row r="5" spans="1:21" x14ac:dyDescent="0.25">
      <c r="A5" s="3" t="s">
        <v>33</v>
      </c>
      <c r="B5" t="s">
        <v>44</v>
      </c>
    </row>
    <row r="6" spans="1:21" x14ac:dyDescent="0.25">
      <c r="A6" s="3" t="s">
        <v>34</v>
      </c>
      <c r="B6" t="s">
        <v>42</v>
      </c>
    </row>
    <row r="7" spans="1:21" x14ac:dyDescent="0.25">
      <c r="A7" s="3" t="s">
        <v>35</v>
      </c>
      <c r="B7" t="s">
        <v>120</v>
      </c>
    </row>
    <row r="8" spans="1:21" x14ac:dyDescent="0.25">
      <c r="A8" s="3" t="s">
        <v>36</v>
      </c>
      <c r="B8" t="s">
        <v>45</v>
      </c>
    </row>
    <row r="9" spans="1:21" x14ac:dyDescent="0.25">
      <c r="A9" s="3" t="s">
        <v>37</v>
      </c>
      <c r="B9" t="s">
        <v>46</v>
      </c>
    </row>
    <row r="10" spans="1:21" x14ac:dyDescent="0.25">
      <c r="A10" s="3" t="s">
        <v>39</v>
      </c>
      <c r="B10" t="s">
        <v>126</v>
      </c>
    </row>
    <row r="11" spans="1:21" x14ac:dyDescent="0.25">
      <c r="A11" s="3" t="s">
        <v>40</v>
      </c>
      <c r="B11" t="s">
        <v>47</v>
      </c>
    </row>
    <row r="12" spans="1:21" x14ac:dyDescent="0.25">
      <c r="A12" s="3" t="s">
        <v>41</v>
      </c>
      <c r="B12" t="s">
        <v>128</v>
      </c>
    </row>
    <row r="13" spans="1:21" x14ac:dyDescent="0.25">
      <c r="A13" s="3" t="s">
        <v>43</v>
      </c>
      <c r="B13" t="s">
        <v>129</v>
      </c>
    </row>
    <row r="14" spans="1:21" ht="15.75" thickBot="1" x14ac:dyDescent="0.3"/>
    <row r="15" spans="1:21" ht="16.5" thickTop="1" thickBot="1" x14ac:dyDescent="0.3">
      <c r="B15" s="8" t="s">
        <v>38</v>
      </c>
      <c r="C15" s="10" t="s">
        <v>0</v>
      </c>
      <c r="D15" s="10" t="s">
        <v>1</v>
      </c>
      <c r="E15" s="10" t="s">
        <v>2</v>
      </c>
      <c r="F15" s="10" t="s">
        <v>3</v>
      </c>
      <c r="G15" s="10" t="s">
        <v>4</v>
      </c>
      <c r="H15" s="10" t="s">
        <v>5</v>
      </c>
      <c r="I15" s="10" t="s">
        <v>6</v>
      </c>
      <c r="J15" s="10" t="s">
        <v>7</v>
      </c>
      <c r="K15" s="10" t="s">
        <v>8</v>
      </c>
      <c r="L15" s="10" t="s">
        <v>9</v>
      </c>
      <c r="M15" s="10" t="s">
        <v>10</v>
      </c>
      <c r="N15" s="10" t="s">
        <v>11</v>
      </c>
      <c r="O15" s="10" t="s">
        <v>12</v>
      </c>
      <c r="P15" s="10" t="s">
        <v>131</v>
      </c>
      <c r="Q15" s="10" t="s">
        <v>132</v>
      </c>
      <c r="R15" s="10" t="s">
        <v>133</v>
      </c>
      <c r="S15" s="10" t="s">
        <v>134</v>
      </c>
      <c r="T15" s="10" t="s">
        <v>135</v>
      </c>
      <c r="U15" s="10" t="s">
        <v>136</v>
      </c>
    </row>
    <row r="16" spans="1:21" ht="16.5" thickTop="1" thickBot="1" x14ac:dyDescent="0.3">
      <c r="B16" s="9" t="s">
        <v>16</v>
      </c>
      <c r="C16" s="15">
        <v>3</v>
      </c>
      <c r="D16" s="16">
        <v>4</v>
      </c>
      <c r="E16" s="16">
        <v>2</v>
      </c>
      <c r="F16" s="16">
        <v>4</v>
      </c>
      <c r="G16" s="16">
        <v>3</v>
      </c>
      <c r="H16" s="16">
        <v>4</v>
      </c>
      <c r="I16" s="16">
        <v>4</v>
      </c>
      <c r="J16" s="16">
        <v>3</v>
      </c>
      <c r="K16" s="17">
        <v>5</v>
      </c>
      <c r="L16" s="16">
        <v>4</v>
      </c>
      <c r="M16" s="16">
        <v>4</v>
      </c>
      <c r="N16" s="16">
        <v>4</v>
      </c>
      <c r="O16" s="18">
        <v>3</v>
      </c>
      <c r="P16" s="24">
        <f>AVERAGE(C16,D16,E16,F16,G16,H16,I16,J16,K16,L16,M16,N16,O16)</f>
        <v>3.6153846153846154</v>
      </c>
      <c r="Q16" s="25">
        <f>MIN(C16:O16)</f>
        <v>2</v>
      </c>
      <c r="R16" s="25">
        <f>MAX(C16:O16)</f>
        <v>5</v>
      </c>
      <c r="S16" s="26">
        <f>SQRT(SQRT(P16))</f>
        <v>1.3789185893472562</v>
      </c>
      <c r="T16" s="25">
        <f>COUNTIF(C16:O16,  "&gt;= 3")</f>
        <v>12</v>
      </c>
      <c r="U16" s="27">
        <f>$C16 + 24</f>
        <v>27</v>
      </c>
    </row>
    <row r="17" spans="2:21" ht="16.5" thickTop="1" thickBot="1" x14ac:dyDescent="0.3">
      <c r="B17" s="9" t="s">
        <v>23</v>
      </c>
      <c r="C17" s="19">
        <v>1</v>
      </c>
      <c r="D17" s="11">
        <v>2</v>
      </c>
      <c r="E17" s="11">
        <v>2</v>
      </c>
      <c r="F17" s="11">
        <v>1</v>
      </c>
      <c r="G17" s="11">
        <v>2</v>
      </c>
      <c r="H17" s="11">
        <v>5</v>
      </c>
      <c r="I17" s="11">
        <v>1</v>
      </c>
      <c r="J17" s="11">
        <v>2</v>
      </c>
      <c r="K17" s="12">
        <v>4</v>
      </c>
      <c r="L17" s="11">
        <v>2</v>
      </c>
      <c r="M17" s="11">
        <v>5</v>
      </c>
      <c r="N17" s="11">
        <v>2</v>
      </c>
      <c r="O17" s="20">
        <v>2</v>
      </c>
      <c r="P17" s="28">
        <f t="shared" ref="P17:P31" si="0">AVERAGE(C17,D17,E17,F17,G17,H17,I17,J17,K17,L17,M17,N17,O17)</f>
        <v>2.3846153846153846</v>
      </c>
      <c r="Q17" s="13">
        <f t="shared" ref="Q17:Q31" si="1">MIN(C17:O17)</f>
        <v>1</v>
      </c>
      <c r="R17" s="13">
        <f t="shared" ref="R17:R31" si="2">MAX(C17:O17)</f>
        <v>5</v>
      </c>
      <c r="S17" s="14">
        <f t="shared" ref="S17:S31" si="3">SQRT(SQRT(P17))</f>
        <v>1.2426664847411093</v>
      </c>
      <c r="T17" s="13">
        <f t="shared" ref="T17:T31" si="4">COUNTIF(C17:O17,  "&gt;= 3")</f>
        <v>3</v>
      </c>
      <c r="U17" s="29">
        <f t="shared" ref="U17:U31" si="5">$C17 + 24</f>
        <v>25</v>
      </c>
    </row>
    <row r="18" spans="2:21" ht="16.5" thickTop="1" thickBot="1" x14ac:dyDescent="0.3">
      <c r="B18" s="9" t="s">
        <v>18</v>
      </c>
      <c r="C18" s="19">
        <v>2</v>
      </c>
      <c r="D18" s="11">
        <v>5</v>
      </c>
      <c r="E18" s="11">
        <v>1</v>
      </c>
      <c r="F18" s="11">
        <v>2</v>
      </c>
      <c r="G18" s="11">
        <v>1</v>
      </c>
      <c r="H18" s="11">
        <v>1</v>
      </c>
      <c r="I18" s="11">
        <v>2</v>
      </c>
      <c r="J18" s="11">
        <v>1</v>
      </c>
      <c r="K18" s="11">
        <v>1</v>
      </c>
      <c r="L18" s="11">
        <v>2</v>
      </c>
      <c r="M18" s="11">
        <v>1</v>
      </c>
      <c r="N18" s="11">
        <v>1</v>
      </c>
      <c r="O18" s="20">
        <v>1</v>
      </c>
      <c r="P18" s="28">
        <f t="shared" si="0"/>
        <v>1.6153846153846154</v>
      </c>
      <c r="Q18" s="13">
        <f t="shared" si="1"/>
        <v>1</v>
      </c>
      <c r="R18" s="13">
        <f t="shared" si="2"/>
        <v>5</v>
      </c>
      <c r="S18" s="14">
        <f t="shared" si="3"/>
        <v>1.1273765203358126</v>
      </c>
      <c r="T18" s="13">
        <f t="shared" si="4"/>
        <v>1</v>
      </c>
      <c r="U18" s="29">
        <f t="shared" si="5"/>
        <v>26</v>
      </c>
    </row>
    <row r="19" spans="2:21" ht="16.5" thickTop="1" thickBot="1" x14ac:dyDescent="0.3">
      <c r="B19" s="9" t="s">
        <v>15</v>
      </c>
      <c r="C19" s="19">
        <v>2</v>
      </c>
      <c r="D19" s="11">
        <v>2</v>
      </c>
      <c r="E19" s="11">
        <v>3</v>
      </c>
      <c r="F19" s="11">
        <v>3</v>
      </c>
      <c r="G19" s="11">
        <v>3</v>
      </c>
      <c r="H19" s="11">
        <v>2</v>
      </c>
      <c r="I19" s="11">
        <v>4</v>
      </c>
      <c r="J19" s="11">
        <v>3</v>
      </c>
      <c r="K19" s="11">
        <v>2</v>
      </c>
      <c r="L19" s="11">
        <v>3</v>
      </c>
      <c r="M19" s="11">
        <v>2</v>
      </c>
      <c r="N19" s="11">
        <v>3</v>
      </c>
      <c r="O19" s="20">
        <v>2</v>
      </c>
      <c r="P19" s="28">
        <f t="shared" si="0"/>
        <v>2.6153846153846154</v>
      </c>
      <c r="Q19" s="13">
        <f t="shared" si="1"/>
        <v>2</v>
      </c>
      <c r="R19" s="13">
        <f t="shared" si="2"/>
        <v>4</v>
      </c>
      <c r="S19" s="14">
        <f t="shared" si="3"/>
        <v>1.2716977157034135</v>
      </c>
      <c r="T19" s="13">
        <f t="shared" si="4"/>
        <v>7</v>
      </c>
      <c r="U19" s="29">
        <f t="shared" si="5"/>
        <v>26</v>
      </c>
    </row>
    <row r="20" spans="2:21" ht="16.5" thickTop="1" thickBot="1" x14ac:dyDescent="0.3">
      <c r="B20" s="9" t="s">
        <v>24</v>
      </c>
      <c r="C20" s="19">
        <v>2</v>
      </c>
      <c r="D20" s="11">
        <v>3</v>
      </c>
      <c r="E20" s="11">
        <v>3</v>
      </c>
      <c r="F20" s="11">
        <v>3</v>
      </c>
      <c r="G20" s="11">
        <v>3</v>
      </c>
      <c r="H20" s="11">
        <v>1</v>
      </c>
      <c r="I20" s="11">
        <v>3</v>
      </c>
      <c r="J20" s="11">
        <v>3</v>
      </c>
      <c r="K20" s="11">
        <v>1</v>
      </c>
      <c r="L20" s="11">
        <v>3</v>
      </c>
      <c r="M20" s="11">
        <v>3</v>
      </c>
      <c r="N20" s="11">
        <v>3</v>
      </c>
      <c r="O20" s="20">
        <v>3</v>
      </c>
      <c r="P20" s="28">
        <f t="shared" si="0"/>
        <v>2.6153846153846154</v>
      </c>
      <c r="Q20" s="13">
        <f t="shared" si="1"/>
        <v>1</v>
      </c>
      <c r="R20" s="13">
        <f t="shared" si="2"/>
        <v>3</v>
      </c>
      <c r="S20" s="14">
        <f t="shared" si="3"/>
        <v>1.2716977157034135</v>
      </c>
      <c r="T20" s="13">
        <f t="shared" si="4"/>
        <v>10</v>
      </c>
      <c r="U20" s="29">
        <f t="shared" si="5"/>
        <v>26</v>
      </c>
    </row>
    <row r="21" spans="2:21" ht="16.5" thickTop="1" thickBot="1" x14ac:dyDescent="0.3">
      <c r="B21" s="9" t="s">
        <v>29</v>
      </c>
      <c r="C21" s="19">
        <v>2</v>
      </c>
      <c r="D21" s="11">
        <v>2</v>
      </c>
      <c r="E21" s="11">
        <v>1</v>
      </c>
      <c r="F21" s="11">
        <v>2</v>
      </c>
      <c r="G21" s="11">
        <v>2</v>
      </c>
      <c r="H21" s="11">
        <v>2</v>
      </c>
      <c r="I21" s="11">
        <v>2</v>
      </c>
      <c r="J21" s="11">
        <v>2</v>
      </c>
      <c r="K21" s="11">
        <v>1</v>
      </c>
      <c r="L21" s="11">
        <v>2</v>
      </c>
      <c r="M21" s="11">
        <v>1</v>
      </c>
      <c r="N21" s="11">
        <v>2</v>
      </c>
      <c r="O21" s="20">
        <v>2</v>
      </c>
      <c r="P21" s="28">
        <f t="shared" si="0"/>
        <v>1.7692307692307692</v>
      </c>
      <c r="Q21" s="13">
        <f t="shared" si="1"/>
        <v>1</v>
      </c>
      <c r="R21" s="13">
        <f t="shared" si="2"/>
        <v>2</v>
      </c>
      <c r="S21" s="14">
        <f t="shared" si="3"/>
        <v>1.1533101679610531</v>
      </c>
      <c r="T21" s="13">
        <f t="shared" si="4"/>
        <v>0</v>
      </c>
      <c r="U21" s="29">
        <f t="shared" si="5"/>
        <v>26</v>
      </c>
    </row>
    <row r="22" spans="2:21" ht="16.5" thickTop="1" thickBot="1" x14ac:dyDescent="0.3">
      <c r="B22" s="9" t="s">
        <v>28</v>
      </c>
      <c r="C22" s="19">
        <v>1</v>
      </c>
      <c r="D22" s="11">
        <v>3</v>
      </c>
      <c r="E22" s="11">
        <v>2</v>
      </c>
      <c r="F22" s="11">
        <v>3</v>
      </c>
      <c r="G22" s="11">
        <v>3</v>
      </c>
      <c r="H22" s="11">
        <v>2</v>
      </c>
      <c r="I22" s="11">
        <v>3</v>
      </c>
      <c r="J22" s="11">
        <v>1</v>
      </c>
      <c r="K22" s="11">
        <v>2</v>
      </c>
      <c r="L22" s="11">
        <v>5</v>
      </c>
      <c r="M22" s="11">
        <v>1</v>
      </c>
      <c r="N22" s="11">
        <v>5</v>
      </c>
      <c r="O22" s="20">
        <v>3</v>
      </c>
      <c r="P22" s="28">
        <f t="shared" si="0"/>
        <v>2.6153846153846154</v>
      </c>
      <c r="Q22" s="13">
        <f t="shared" si="1"/>
        <v>1</v>
      </c>
      <c r="R22" s="13">
        <f t="shared" si="2"/>
        <v>5</v>
      </c>
      <c r="S22" s="14">
        <f t="shared" si="3"/>
        <v>1.2716977157034135</v>
      </c>
      <c r="T22" s="13">
        <f t="shared" si="4"/>
        <v>7</v>
      </c>
      <c r="U22" s="29">
        <f t="shared" si="5"/>
        <v>25</v>
      </c>
    </row>
    <row r="23" spans="2:21" ht="16.5" thickTop="1" thickBot="1" x14ac:dyDescent="0.3">
      <c r="B23" s="9" t="s">
        <v>21</v>
      </c>
      <c r="C23" s="19">
        <v>3</v>
      </c>
      <c r="D23" s="11">
        <v>2</v>
      </c>
      <c r="E23" s="11">
        <v>2</v>
      </c>
      <c r="F23" s="11">
        <v>2</v>
      </c>
      <c r="G23" s="11">
        <v>2</v>
      </c>
      <c r="H23" s="11">
        <v>2</v>
      </c>
      <c r="I23" s="11">
        <v>3</v>
      </c>
      <c r="J23" s="11">
        <v>2</v>
      </c>
      <c r="K23" s="11">
        <v>1</v>
      </c>
      <c r="L23" s="11">
        <v>2</v>
      </c>
      <c r="M23" s="11">
        <v>1</v>
      </c>
      <c r="N23" s="11">
        <v>1</v>
      </c>
      <c r="O23" s="20">
        <v>2</v>
      </c>
      <c r="P23" s="28">
        <f t="shared" si="0"/>
        <v>1.9230769230769231</v>
      </c>
      <c r="Q23" s="13">
        <f t="shared" si="1"/>
        <v>1</v>
      </c>
      <c r="R23" s="13">
        <f t="shared" si="2"/>
        <v>3</v>
      </c>
      <c r="S23" s="14">
        <f t="shared" si="3"/>
        <v>1.177603706924818</v>
      </c>
      <c r="T23" s="13">
        <f t="shared" si="4"/>
        <v>2</v>
      </c>
      <c r="U23" s="29">
        <f t="shared" si="5"/>
        <v>27</v>
      </c>
    </row>
    <row r="24" spans="2:21" ht="16.5" thickTop="1" thickBot="1" x14ac:dyDescent="0.3">
      <c r="B24" s="9" t="s">
        <v>14</v>
      </c>
      <c r="C24" s="19">
        <v>1</v>
      </c>
      <c r="D24" s="11">
        <v>4</v>
      </c>
      <c r="E24" s="11">
        <v>3</v>
      </c>
      <c r="F24" s="11">
        <v>4</v>
      </c>
      <c r="G24" s="11">
        <v>5</v>
      </c>
      <c r="H24" s="11">
        <v>3</v>
      </c>
      <c r="I24" s="11">
        <v>5</v>
      </c>
      <c r="J24" s="11">
        <v>4</v>
      </c>
      <c r="K24" s="11">
        <v>3</v>
      </c>
      <c r="L24" s="11">
        <v>4</v>
      </c>
      <c r="M24" s="11">
        <v>4</v>
      </c>
      <c r="N24" s="11">
        <v>4</v>
      </c>
      <c r="O24" s="20">
        <v>4</v>
      </c>
      <c r="P24" s="28">
        <f t="shared" si="0"/>
        <v>3.6923076923076925</v>
      </c>
      <c r="Q24" s="13">
        <f t="shared" si="1"/>
        <v>1</v>
      </c>
      <c r="R24" s="13">
        <f t="shared" si="2"/>
        <v>5</v>
      </c>
      <c r="S24" s="14">
        <f t="shared" si="3"/>
        <v>1.3861954572357555</v>
      </c>
      <c r="T24" s="13">
        <f t="shared" si="4"/>
        <v>12</v>
      </c>
      <c r="U24" s="29">
        <f t="shared" si="5"/>
        <v>25</v>
      </c>
    </row>
    <row r="25" spans="2:21" ht="16.5" thickTop="1" thickBot="1" x14ac:dyDescent="0.3">
      <c r="B25" s="9" t="s">
        <v>17</v>
      </c>
      <c r="C25" s="19">
        <v>5</v>
      </c>
      <c r="D25" s="11">
        <v>1</v>
      </c>
      <c r="E25" s="11">
        <v>2</v>
      </c>
      <c r="F25" s="11">
        <v>3</v>
      </c>
      <c r="G25" s="11">
        <v>3</v>
      </c>
      <c r="H25" s="11">
        <v>2</v>
      </c>
      <c r="I25" s="11">
        <v>3</v>
      </c>
      <c r="J25" s="11">
        <v>3</v>
      </c>
      <c r="K25" s="11">
        <v>1</v>
      </c>
      <c r="L25" s="11">
        <v>3</v>
      </c>
      <c r="M25" s="11">
        <v>5</v>
      </c>
      <c r="N25" s="11">
        <v>2</v>
      </c>
      <c r="O25" s="20">
        <v>3</v>
      </c>
      <c r="P25" s="28">
        <f t="shared" si="0"/>
        <v>2.7692307692307692</v>
      </c>
      <c r="Q25" s="13">
        <f t="shared" si="1"/>
        <v>1</v>
      </c>
      <c r="R25" s="13">
        <f t="shared" si="2"/>
        <v>5</v>
      </c>
      <c r="S25" s="14">
        <f t="shared" si="3"/>
        <v>1.290000228168851</v>
      </c>
      <c r="T25" s="13">
        <f t="shared" si="4"/>
        <v>8</v>
      </c>
      <c r="U25" s="29">
        <f t="shared" si="5"/>
        <v>29</v>
      </c>
    </row>
    <row r="26" spans="2:21" ht="16.5" thickTop="1" thickBot="1" x14ac:dyDescent="0.3">
      <c r="B26" s="9" t="s">
        <v>20</v>
      </c>
      <c r="C26" s="19">
        <v>1</v>
      </c>
      <c r="D26" s="11">
        <v>3</v>
      </c>
      <c r="E26" s="11">
        <v>2</v>
      </c>
      <c r="F26" s="11">
        <v>4</v>
      </c>
      <c r="G26" s="11">
        <v>2</v>
      </c>
      <c r="H26" s="11">
        <v>2</v>
      </c>
      <c r="I26" s="11">
        <v>4</v>
      </c>
      <c r="J26" s="11">
        <v>3</v>
      </c>
      <c r="K26" s="11">
        <v>2</v>
      </c>
      <c r="L26" s="11">
        <v>3</v>
      </c>
      <c r="M26" s="11">
        <v>3</v>
      </c>
      <c r="N26" s="11">
        <v>3</v>
      </c>
      <c r="O26" s="20">
        <v>3</v>
      </c>
      <c r="P26" s="28">
        <f t="shared" si="0"/>
        <v>2.6923076923076925</v>
      </c>
      <c r="Q26" s="13">
        <f t="shared" si="1"/>
        <v>1</v>
      </c>
      <c r="R26" s="13">
        <f t="shared" si="2"/>
        <v>4</v>
      </c>
      <c r="S26" s="14">
        <f t="shared" si="3"/>
        <v>1.2809470357062911</v>
      </c>
      <c r="T26" s="13">
        <f t="shared" si="4"/>
        <v>8</v>
      </c>
      <c r="U26" s="29">
        <f t="shared" si="5"/>
        <v>25</v>
      </c>
    </row>
    <row r="27" spans="2:21" ht="16.5" thickTop="1" thickBot="1" x14ac:dyDescent="0.3">
      <c r="B27" s="9" t="s">
        <v>22</v>
      </c>
      <c r="C27" s="19">
        <v>2</v>
      </c>
      <c r="D27" s="11">
        <v>3</v>
      </c>
      <c r="E27" s="11">
        <v>3</v>
      </c>
      <c r="F27" s="11">
        <v>3</v>
      </c>
      <c r="G27" s="11">
        <v>3</v>
      </c>
      <c r="H27" s="11">
        <v>3</v>
      </c>
      <c r="I27" s="11">
        <v>3</v>
      </c>
      <c r="J27" s="11">
        <v>2</v>
      </c>
      <c r="K27" s="11">
        <v>2</v>
      </c>
      <c r="L27" s="11">
        <v>3</v>
      </c>
      <c r="M27" s="11">
        <v>2</v>
      </c>
      <c r="N27" s="11">
        <v>4</v>
      </c>
      <c r="O27" s="20">
        <v>3</v>
      </c>
      <c r="P27" s="28">
        <f t="shared" si="0"/>
        <v>2.7692307692307692</v>
      </c>
      <c r="Q27" s="13">
        <f t="shared" si="1"/>
        <v>2</v>
      </c>
      <c r="R27" s="13">
        <f t="shared" si="2"/>
        <v>4</v>
      </c>
      <c r="S27" s="14">
        <f t="shared" si="3"/>
        <v>1.290000228168851</v>
      </c>
      <c r="T27" s="13">
        <f t="shared" si="4"/>
        <v>9</v>
      </c>
      <c r="U27" s="29">
        <f t="shared" si="5"/>
        <v>26</v>
      </c>
    </row>
    <row r="28" spans="2:21" ht="16.5" thickTop="1" thickBot="1" x14ac:dyDescent="0.3">
      <c r="B28" s="9" t="s">
        <v>19</v>
      </c>
      <c r="C28" s="19">
        <v>1</v>
      </c>
      <c r="D28" s="11">
        <v>2</v>
      </c>
      <c r="E28" s="11">
        <v>1</v>
      </c>
      <c r="F28" s="11">
        <v>2</v>
      </c>
      <c r="G28" s="11">
        <v>2</v>
      </c>
      <c r="H28" s="11">
        <v>2</v>
      </c>
      <c r="I28" s="11">
        <v>3</v>
      </c>
      <c r="J28" s="11">
        <v>5</v>
      </c>
      <c r="K28" s="11">
        <v>2</v>
      </c>
      <c r="L28" s="11">
        <v>3</v>
      </c>
      <c r="M28" s="11">
        <v>2</v>
      </c>
      <c r="N28" s="11">
        <v>2</v>
      </c>
      <c r="O28" s="20">
        <v>1</v>
      </c>
      <c r="P28" s="28">
        <f t="shared" si="0"/>
        <v>2.1538461538461537</v>
      </c>
      <c r="Q28" s="13">
        <f t="shared" si="1"/>
        <v>1</v>
      </c>
      <c r="R28" s="13">
        <f t="shared" si="2"/>
        <v>5</v>
      </c>
      <c r="S28" s="14">
        <f t="shared" si="3"/>
        <v>1.2114449105967162</v>
      </c>
      <c r="T28" s="13">
        <f t="shared" si="4"/>
        <v>3</v>
      </c>
      <c r="U28" s="29">
        <f t="shared" si="5"/>
        <v>25</v>
      </c>
    </row>
    <row r="29" spans="2:21" ht="16.5" thickTop="1" thickBot="1" x14ac:dyDescent="0.3">
      <c r="B29" s="9" t="s">
        <v>25</v>
      </c>
      <c r="C29" s="19">
        <v>1</v>
      </c>
      <c r="D29" s="11">
        <v>3</v>
      </c>
      <c r="E29" s="11">
        <v>2</v>
      </c>
      <c r="F29" s="11">
        <v>4</v>
      </c>
      <c r="G29" s="11">
        <v>3</v>
      </c>
      <c r="H29" s="11">
        <v>3</v>
      </c>
      <c r="I29" s="11">
        <v>4</v>
      </c>
      <c r="J29" s="11">
        <v>4</v>
      </c>
      <c r="K29" s="11">
        <v>1</v>
      </c>
      <c r="L29" s="11">
        <v>3</v>
      </c>
      <c r="M29" s="11">
        <v>3</v>
      </c>
      <c r="N29" s="11">
        <v>3</v>
      </c>
      <c r="O29" s="20">
        <v>2</v>
      </c>
      <c r="P29" s="28">
        <f t="shared" si="0"/>
        <v>2.7692307692307692</v>
      </c>
      <c r="Q29" s="13">
        <f t="shared" si="1"/>
        <v>1</v>
      </c>
      <c r="R29" s="13">
        <f t="shared" si="2"/>
        <v>4</v>
      </c>
      <c r="S29" s="14">
        <f t="shared" si="3"/>
        <v>1.290000228168851</v>
      </c>
      <c r="T29" s="13">
        <f t="shared" si="4"/>
        <v>9</v>
      </c>
      <c r="U29" s="29">
        <f t="shared" si="5"/>
        <v>25</v>
      </c>
    </row>
    <row r="30" spans="2:21" ht="16.5" thickTop="1" thickBot="1" x14ac:dyDescent="0.3">
      <c r="B30" s="9" t="s">
        <v>26</v>
      </c>
      <c r="C30" s="19">
        <v>1</v>
      </c>
      <c r="D30" s="11">
        <v>2</v>
      </c>
      <c r="E30" s="11">
        <v>3</v>
      </c>
      <c r="F30" s="11">
        <v>2</v>
      </c>
      <c r="G30" s="11">
        <v>3</v>
      </c>
      <c r="H30" s="11">
        <v>1</v>
      </c>
      <c r="I30" s="11">
        <v>3</v>
      </c>
      <c r="J30" s="11">
        <v>2</v>
      </c>
      <c r="K30" s="11">
        <v>1</v>
      </c>
      <c r="L30" s="11">
        <v>3</v>
      </c>
      <c r="M30" s="11">
        <v>1</v>
      </c>
      <c r="N30" s="11">
        <v>2</v>
      </c>
      <c r="O30" s="20">
        <v>2</v>
      </c>
      <c r="P30" s="28">
        <f t="shared" si="0"/>
        <v>2</v>
      </c>
      <c r="Q30" s="13">
        <f t="shared" si="1"/>
        <v>1</v>
      </c>
      <c r="R30" s="13">
        <f t="shared" si="2"/>
        <v>3</v>
      </c>
      <c r="S30" s="14">
        <f t="shared" si="3"/>
        <v>1.189207115002721</v>
      </c>
      <c r="T30" s="13">
        <f t="shared" si="4"/>
        <v>4</v>
      </c>
      <c r="U30" s="29">
        <f t="shared" si="5"/>
        <v>25</v>
      </c>
    </row>
    <row r="31" spans="2:21" ht="16.5" thickTop="1" thickBot="1" x14ac:dyDescent="0.3">
      <c r="B31" s="9" t="s">
        <v>27</v>
      </c>
      <c r="C31" s="21">
        <v>3</v>
      </c>
      <c r="D31" s="22">
        <v>2</v>
      </c>
      <c r="E31" s="22">
        <v>2</v>
      </c>
      <c r="F31" s="22">
        <v>2</v>
      </c>
      <c r="G31" s="22">
        <v>5</v>
      </c>
      <c r="H31" s="22">
        <v>1</v>
      </c>
      <c r="I31" s="22">
        <v>2</v>
      </c>
      <c r="J31" s="22">
        <v>2</v>
      </c>
      <c r="K31" s="22">
        <v>1</v>
      </c>
      <c r="L31" s="22">
        <v>1</v>
      </c>
      <c r="M31" s="22">
        <v>2</v>
      </c>
      <c r="N31" s="22">
        <v>1</v>
      </c>
      <c r="O31" s="23">
        <v>2</v>
      </c>
      <c r="P31" s="30">
        <f t="shared" si="0"/>
        <v>2</v>
      </c>
      <c r="Q31" s="31">
        <f t="shared" si="1"/>
        <v>1</v>
      </c>
      <c r="R31" s="31">
        <f t="shared" si="2"/>
        <v>5</v>
      </c>
      <c r="S31" s="32">
        <f t="shared" si="3"/>
        <v>1.189207115002721</v>
      </c>
      <c r="T31" s="31">
        <f t="shared" si="4"/>
        <v>2</v>
      </c>
      <c r="U31" s="33">
        <f t="shared" si="5"/>
        <v>27</v>
      </c>
    </row>
    <row r="32" spans="2:21" ht="15.75" thickTop="1" x14ac:dyDescent="0.25">
      <c r="B32" s="1"/>
      <c r="C32" s="7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</sheetData>
  <sortState xmlns:xlrd2="http://schemas.microsoft.com/office/spreadsheetml/2017/richdata2" ref="B16:O32">
    <sortCondition descending="1" ref="B32"/>
  </sortState>
  <phoneticPr fontId="5" type="noConversion"/>
  <conditionalFormatting sqref="C16:O31">
    <cfRule type="cellIs" dxfId="9" priority="1" operator="lessThan">
      <formula>3</formula>
    </cfRule>
  </conditionalFormatting>
  <pageMargins left="0.7" right="0.7" top="0.78740157499999996" bottom="0.78740157499999996" header="0.3" footer="0.3"/>
  <pageSetup paperSize="9" scale="62" fitToHeight="0" orientation="landscape" r:id="rId1"/>
  <headerFooter>
    <oddHeader>&amp;L&amp;T&amp;RJan Syrovec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90E8-106D-4AD4-9564-1343173859D4}">
  <dimension ref="C2:S22"/>
  <sheetViews>
    <sheetView topLeftCell="A12" workbookViewId="0">
      <selection activeCell="AA13" sqref="AA13"/>
    </sheetView>
  </sheetViews>
  <sheetFormatPr defaultRowHeight="15" x14ac:dyDescent="0.25"/>
  <sheetData>
    <row r="2" spans="3:19" ht="15.75" thickBot="1" x14ac:dyDescent="0.3"/>
    <row r="3" spans="3:19" ht="16.5" thickTop="1" thickBot="1" x14ac:dyDescent="0.3">
      <c r="C3" s="8" t="s">
        <v>38</v>
      </c>
      <c r="D3" s="9" t="s">
        <v>16</v>
      </c>
      <c r="E3" s="9" t="s">
        <v>23</v>
      </c>
      <c r="F3" s="9" t="s">
        <v>18</v>
      </c>
      <c r="G3" s="9" t="s">
        <v>15</v>
      </c>
      <c r="H3" s="9" t="s">
        <v>24</v>
      </c>
      <c r="I3" s="9" t="s">
        <v>29</v>
      </c>
      <c r="J3" s="9" t="s">
        <v>28</v>
      </c>
      <c r="K3" s="9" t="s">
        <v>21</v>
      </c>
      <c r="L3" s="9" t="s">
        <v>14</v>
      </c>
      <c r="M3" s="9" t="s">
        <v>17</v>
      </c>
      <c r="N3" s="9" t="s">
        <v>20</v>
      </c>
      <c r="O3" s="9" t="s">
        <v>22</v>
      </c>
      <c r="P3" s="9" t="s">
        <v>19</v>
      </c>
      <c r="Q3" s="9" t="s">
        <v>25</v>
      </c>
      <c r="R3" s="9" t="s">
        <v>26</v>
      </c>
      <c r="S3" s="9" t="s">
        <v>27</v>
      </c>
    </row>
    <row r="4" spans="3:19" ht="16.5" thickTop="1" thickBot="1" x14ac:dyDescent="0.3">
      <c r="C4" s="10" t="s">
        <v>0</v>
      </c>
      <c r="D4" s="15">
        <v>3</v>
      </c>
      <c r="E4" s="19">
        <v>1</v>
      </c>
      <c r="F4" s="19">
        <v>2</v>
      </c>
      <c r="G4" s="19">
        <v>2</v>
      </c>
      <c r="H4" s="19">
        <v>2</v>
      </c>
      <c r="I4" s="19">
        <v>2</v>
      </c>
      <c r="J4" s="19">
        <v>1</v>
      </c>
      <c r="K4" s="19">
        <v>3</v>
      </c>
      <c r="L4" s="19">
        <v>1</v>
      </c>
      <c r="M4" s="19">
        <v>5</v>
      </c>
      <c r="N4" s="19">
        <v>1</v>
      </c>
      <c r="O4" s="19">
        <v>2</v>
      </c>
      <c r="P4" s="19">
        <v>1</v>
      </c>
      <c r="Q4" s="19">
        <v>1</v>
      </c>
      <c r="R4" s="19">
        <v>1</v>
      </c>
      <c r="S4" s="21">
        <v>3</v>
      </c>
    </row>
    <row r="5" spans="3:19" ht="16.5" thickTop="1" thickBot="1" x14ac:dyDescent="0.3">
      <c r="C5" s="10" t="s">
        <v>1</v>
      </c>
      <c r="D5" s="16">
        <v>4</v>
      </c>
      <c r="E5" s="11">
        <v>2</v>
      </c>
      <c r="F5" s="11">
        <v>5</v>
      </c>
      <c r="G5" s="11">
        <v>2</v>
      </c>
      <c r="H5" s="11">
        <v>3</v>
      </c>
      <c r="I5" s="11">
        <v>2</v>
      </c>
      <c r="J5" s="11">
        <v>3</v>
      </c>
      <c r="K5" s="11">
        <v>2</v>
      </c>
      <c r="L5" s="11">
        <v>4</v>
      </c>
      <c r="M5" s="11">
        <v>1</v>
      </c>
      <c r="N5" s="11">
        <v>3</v>
      </c>
      <c r="O5" s="11">
        <v>3</v>
      </c>
      <c r="P5" s="11">
        <v>2</v>
      </c>
      <c r="Q5" s="11">
        <v>3</v>
      </c>
      <c r="R5" s="11">
        <v>2</v>
      </c>
      <c r="S5" s="22">
        <v>2</v>
      </c>
    </row>
    <row r="6" spans="3:19" ht="16.5" thickTop="1" thickBot="1" x14ac:dyDescent="0.3">
      <c r="C6" s="10" t="s">
        <v>2</v>
      </c>
      <c r="D6" s="16">
        <v>2</v>
      </c>
      <c r="E6" s="11">
        <v>2</v>
      </c>
      <c r="F6" s="11">
        <v>1</v>
      </c>
      <c r="G6" s="11">
        <v>3</v>
      </c>
      <c r="H6" s="11">
        <v>3</v>
      </c>
      <c r="I6" s="11">
        <v>1</v>
      </c>
      <c r="J6" s="11">
        <v>2</v>
      </c>
      <c r="K6" s="11">
        <v>2</v>
      </c>
      <c r="L6" s="11">
        <v>3</v>
      </c>
      <c r="M6" s="11">
        <v>2</v>
      </c>
      <c r="N6" s="11">
        <v>2</v>
      </c>
      <c r="O6" s="11">
        <v>3</v>
      </c>
      <c r="P6" s="11">
        <v>1</v>
      </c>
      <c r="Q6" s="11">
        <v>2</v>
      </c>
      <c r="R6" s="11">
        <v>3</v>
      </c>
      <c r="S6" s="22">
        <v>2</v>
      </c>
    </row>
    <row r="7" spans="3:19" ht="16.5" thickTop="1" thickBot="1" x14ac:dyDescent="0.3">
      <c r="C7" s="10" t="s">
        <v>3</v>
      </c>
      <c r="D7" s="16">
        <v>4</v>
      </c>
      <c r="E7" s="11">
        <v>1</v>
      </c>
      <c r="F7" s="11">
        <v>2</v>
      </c>
      <c r="G7" s="11">
        <v>3</v>
      </c>
      <c r="H7" s="11">
        <v>3</v>
      </c>
      <c r="I7" s="11">
        <v>2</v>
      </c>
      <c r="J7" s="11">
        <v>3</v>
      </c>
      <c r="K7" s="11">
        <v>2</v>
      </c>
      <c r="L7" s="11">
        <v>4</v>
      </c>
      <c r="M7" s="11">
        <v>3</v>
      </c>
      <c r="N7" s="11">
        <v>4</v>
      </c>
      <c r="O7" s="11">
        <v>3</v>
      </c>
      <c r="P7" s="11">
        <v>2</v>
      </c>
      <c r="Q7" s="11">
        <v>4</v>
      </c>
      <c r="R7" s="11">
        <v>2</v>
      </c>
      <c r="S7" s="22">
        <v>2</v>
      </c>
    </row>
    <row r="8" spans="3:19" ht="16.5" thickTop="1" thickBot="1" x14ac:dyDescent="0.3">
      <c r="C8" s="10" t="s">
        <v>4</v>
      </c>
      <c r="D8" s="16">
        <v>3</v>
      </c>
      <c r="E8" s="11">
        <v>2</v>
      </c>
      <c r="F8" s="11">
        <v>1</v>
      </c>
      <c r="G8" s="11">
        <v>3</v>
      </c>
      <c r="H8" s="11">
        <v>3</v>
      </c>
      <c r="I8" s="11">
        <v>2</v>
      </c>
      <c r="J8" s="11">
        <v>3</v>
      </c>
      <c r="K8" s="11">
        <v>2</v>
      </c>
      <c r="L8" s="11">
        <v>5</v>
      </c>
      <c r="M8" s="11">
        <v>3</v>
      </c>
      <c r="N8" s="11">
        <v>2</v>
      </c>
      <c r="O8" s="11">
        <v>3</v>
      </c>
      <c r="P8" s="11">
        <v>2</v>
      </c>
      <c r="Q8" s="11">
        <v>3</v>
      </c>
      <c r="R8" s="11">
        <v>3</v>
      </c>
      <c r="S8" s="22">
        <v>5</v>
      </c>
    </row>
    <row r="9" spans="3:19" ht="16.5" thickTop="1" thickBot="1" x14ac:dyDescent="0.3">
      <c r="C9" s="10" t="s">
        <v>5</v>
      </c>
      <c r="D9" s="16">
        <v>4</v>
      </c>
      <c r="E9" s="11">
        <v>5</v>
      </c>
      <c r="F9" s="11">
        <v>1</v>
      </c>
      <c r="G9" s="11">
        <v>2</v>
      </c>
      <c r="H9" s="11">
        <v>1</v>
      </c>
      <c r="I9" s="11">
        <v>2</v>
      </c>
      <c r="J9" s="11">
        <v>2</v>
      </c>
      <c r="K9" s="11">
        <v>2</v>
      </c>
      <c r="L9" s="11">
        <v>3</v>
      </c>
      <c r="M9" s="11">
        <v>2</v>
      </c>
      <c r="N9" s="11">
        <v>2</v>
      </c>
      <c r="O9" s="11">
        <v>3</v>
      </c>
      <c r="P9" s="11">
        <v>2</v>
      </c>
      <c r="Q9" s="11">
        <v>3</v>
      </c>
      <c r="R9" s="11">
        <v>1</v>
      </c>
      <c r="S9" s="22">
        <v>1</v>
      </c>
    </row>
    <row r="10" spans="3:19" ht="16.5" thickTop="1" thickBot="1" x14ac:dyDescent="0.3">
      <c r="C10" s="10" t="s">
        <v>6</v>
      </c>
      <c r="D10" s="16">
        <v>4</v>
      </c>
      <c r="E10" s="11">
        <v>1</v>
      </c>
      <c r="F10" s="11">
        <v>2</v>
      </c>
      <c r="G10" s="11">
        <v>4</v>
      </c>
      <c r="H10" s="11">
        <v>3</v>
      </c>
      <c r="I10" s="11">
        <v>2</v>
      </c>
      <c r="J10" s="11">
        <v>3</v>
      </c>
      <c r="K10" s="11">
        <v>3</v>
      </c>
      <c r="L10" s="11">
        <v>5</v>
      </c>
      <c r="M10" s="11">
        <v>3</v>
      </c>
      <c r="N10" s="11">
        <v>4</v>
      </c>
      <c r="O10" s="11">
        <v>3</v>
      </c>
      <c r="P10" s="11">
        <v>3</v>
      </c>
      <c r="Q10" s="11">
        <v>4</v>
      </c>
      <c r="R10" s="11">
        <v>3</v>
      </c>
      <c r="S10" s="22">
        <v>2</v>
      </c>
    </row>
    <row r="11" spans="3:19" ht="16.5" thickTop="1" thickBot="1" x14ac:dyDescent="0.3">
      <c r="C11" s="10" t="s">
        <v>7</v>
      </c>
      <c r="D11" s="16">
        <v>3</v>
      </c>
      <c r="E11" s="11">
        <v>2</v>
      </c>
      <c r="F11" s="11">
        <v>1</v>
      </c>
      <c r="G11" s="11">
        <v>3</v>
      </c>
      <c r="H11" s="11">
        <v>3</v>
      </c>
      <c r="I11" s="11">
        <v>2</v>
      </c>
      <c r="J11" s="11">
        <v>1</v>
      </c>
      <c r="K11" s="11">
        <v>2</v>
      </c>
      <c r="L11" s="11">
        <v>4</v>
      </c>
      <c r="M11" s="11">
        <v>3</v>
      </c>
      <c r="N11" s="11">
        <v>3</v>
      </c>
      <c r="O11" s="11">
        <v>2</v>
      </c>
      <c r="P11" s="11">
        <v>5</v>
      </c>
      <c r="Q11" s="11">
        <v>4</v>
      </c>
      <c r="R11" s="11">
        <v>2</v>
      </c>
      <c r="S11" s="22">
        <v>2</v>
      </c>
    </row>
    <row r="12" spans="3:19" ht="16.5" thickTop="1" thickBot="1" x14ac:dyDescent="0.3">
      <c r="C12" s="10" t="s">
        <v>8</v>
      </c>
      <c r="D12" s="17">
        <v>5</v>
      </c>
      <c r="E12" s="12">
        <v>4</v>
      </c>
      <c r="F12" s="11">
        <v>1</v>
      </c>
      <c r="G12" s="11">
        <v>2</v>
      </c>
      <c r="H12" s="11">
        <v>1</v>
      </c>
      <c r="I12" s="11">
        <v>1</v>
      </c>
      <c r="J12" s="11">
        <v>2</v>
      </c>
      <c r="K12" s="11">
        <v>1</v>
      </c>
      <c r="L12" s="11">
        <v>3</v>
      </c>
      <c r="M12" s="11">
        <v>1</v>
      </c>
      <c r="N12" s="11">
        <v>2</v>
      </c>
      <c r="O12" s="11">
        <v>2</v>
      </c>
      <c r="P12" s="11">
        <v>2</v>
      </c>
      <c r="Q12" s="11">
        <v>1</v>
      </c>
      <c r="R12" s="11">
        <v>1</v>
      </c>
      <c r="S12" s="22">
        <v>1</v>
      </c>
    </row>
    <row r="13" spans="3:19" ht="16.5" thickTop="1" thickBot="1" x14ac:dyDescent="0.3">
      <c r="C13" s="10" t="s">
        <v>9</v>
      </c>
      <c r="D13" s="16">
        <v>4</v>
      </c>
      <c r="E13" s="11">
        <v>2</v>
      </c>
      <c r="F13" s="11">
        <v>2</v>
      </c>
      <c r="G13" s="11">
        <v>3</v>
      </c>
      <c r="H13" s="11">
        <v>3</v>
      </c>
      <c r="I13" s="11">
        <v>2</v>
      </c>
      <c r="J13" s="11">
        <v>5</v>
      </c>
      <c r="K13" s="11">
        <v>2</v>
      </c>
      <c r="L13" s="11">
        <v>4</v>
      </c>
      <c r="M13" s="11">
        <v>3</v>
      </c>
      <c r="N13" s="11">
        <v>3</v>
      </c>
      <c r="O13" s="11">
        <v>3</v>
      </c>
      <c r="P13" s="11">
        <v>3</v>
      </c>
      <c r="Q13" s="11">
        <v>3</v>
      </c>
      <c r="R13" s="11">
        <v>3</v>
      </c>
      <c r="S13" s="22">
        <v>1</v>
      </c>
    </row>
    <row r="14" spans="3:19" ht="16.5" thickTop="1" thickBot="1" x14ac:dyDescent="0.3">
      <c r="C14" s="10" t="s">
        <v>10</v>
      </c>
      <c r="D14" s="16">
        <v>4</v>
      </c>
      <c r="E14" s="11">
        <v>5</v>
      </c>
      <c r="F14" s="11">
        <v>1</v>
      </c>
      <c r="G14" s="11">
        <v>2</v>
      </c>
      <c r="H14" s="11">
        <v>3</v>
      </c>
      <c r="I14" s="11">
        <v>1</v>
      </c>
      <c r="J14" s="11">
        <v>1</v>
      </c>
      <c r="K14" s="11">
        <v>1</v>
      </c>
      <c r="L14" s="11">
        <v>4</v>
      </c>
      <c r="M14" s="11">
        <v>5</v>
      </c>
      <c r="N14" s="11">
        <v>3</v>
      </c>
      <c r="O14" s="11">
        <v>2</v>
      </c>
      <c r="P14" s="11">
        <v>2</v>
      </c>
      <c r="Q14" s="11">
        <v>3</v>
      </c>
      <c r="R14" s="11">
        <v>1</v>
      </c>
      <c r="S14" s="22">
        <v>2</v>
      </c>
    </row>
    <row r="15" spans="3:19" ht="16.5" thickTop="1" thickBot="1" x14ac:dyDescent="0.3">
      <c r="C15" s="10" t="s">
        <v>11</v>
      </c>
      <c r="D15" s="16">
        <v>4</v>
      </c>
      <c r="E15" s="11">
        <v>2</v>
      </c>
      <c r="F15" s="11">
        <v>1</v>
      </c>
      <c r="G15" s="11">
        <v>3</v>
      </c>
      <c r="H15" s="11">
        <v>3</v>
      </c>
      <c r="I15" s="11">
        <v>2</v>
      </c>
      <c r="J15" s="11">
        <v>5</v>
      </c>
      <c r="K15" s="11">
        <v>1</v>
      </c>
      <c r="L15" s="11">
        <v>4</v>
      </c>
      <c r="M15" s="11">
        <v>2</v>
      </c>
      <c r="N15" s="11">
        <v>3</v>
      </c>
      <c r="O15" s="11">
        <v>4</v>
      </c>
      <c r="P15" s="11">
        <v>2</v>
      </c>
      <c r="Q15" s="11">
        <v>3</v>
      </c>
      <c r="R15" s="11">
        <v>2</v>
      </c>
      <c r="S15" s="22">
        <v>1</v>
      </c>
    </row>
    <row r="16" spans="3:19" ht="16.5" thickTop="1" thickBot="1" x14ac:dyDescent="0.3">
      <c r="C16" s="10" t="s">
        <v>12</v>
      </c>
      <c r="D16" s="18">
        <v>3</v>
      </c>
      <c r="E16" s="20">
        <v>2</v>
      </c>
      <c r="F16" s="20">
        <v>1</v>
      </c>
      <c r="G16" s="20">
        <v>2</v>
      </c>
      <c r="H16" s="20">
        <v>3</v>
      </c>
      <c r="I16" s="20">
        <v>2</v>
      </c>
      <c r="J16" s="20">
        <v>3</v>
      </c>
      <c r="K16" s="20">
        <v>2</v>
      </c>
      <c r="L16" s="20">
        <v>4</v>
      </c>
      <c r="M16" s="20">
        <v>3</v>
      </c>
      <c r="N16" s="20">
        <v>3</v>
      </c>
      <c r="O16" s="20">
        <v>3</v>
      </c>
      <c r="P16" s="20">
        <v>1</v>
      </c>
      <c r="Q16" s="20">
        <v>2</v>
      </c>
      <c r="R16" s="20">
        <v>2</v>
      </c>
      <c r="S16" s="23">
        <v>2</v>
      </c>
    </row>
    <row r="17" spans="3:19" ht="16.5" thickTop="1" thickBot="1" x14ac:dyDescent="0.3">
      <c r="C17" s="10" t="s">
        <v>131</v>
      </c>
      <c r="D17" s="24">
        <f>AVERAGE(D4,D5,D6,D7,D8,D9,D10,D11,D12,D13,D14,D15,D16)</f>
        <v>3.6153846153846154</v>
      </c>
      <c r="E17" s="28">
        <f>AVERAGE(E4,E5,E6,E7,E8,E9,E10,E11,E12,E13,E14,E15,E16)</f>
        <v>2.3846153846153846</v>
      </c>
      <c r="F17" s="28">
        <f>AVERAGE(F4,F5,F6,F7,F8,F9,F10,F11,F12,F13,F14,F15,F16)</f>
        <v>1.6153846153846154</v>
      </c>
      <c r="G17" s="28">
        <f>AVERAGE(G4,G5,G6,G7,G8,G9,G10,G11,G12,G13,G14,G15,G16)</f>
        <v>2.6153846153846154</v>
      </c>
      <c r="H17" s="28">
        <f>AVERAGE(H4,H5,H6,H7,H8,H9,H10,H11,H12,H13,H14,H15,H16)</f>
        <v>2.6153846153846154</v>
      </c>
      <c r="I17" s="28">
        <f>AVERAGE(I4,I5,I6,I7,I8,I9,I10,I11,I12,I13,I14,I15,I16)</f>
        <v>1.7692307692307692</v>
      </c>
      <c r="J17" s="28">
        <f>AVERAGE(J4,J5,J6,J7,J8,J9,J10,J11,J12,J13,J14,J15,J16)</f>
        <v>2.6153846153846154</v>
      </c>
      <c r="K17" s="28">
        <f>AVERAGE(K4,K5,K6,K7,K8,K9,K10,K11,K12,K13,K14,K15,K16)</f>
        <v>1.9230769230769231</v>
      </c>
      <c r="L17" s="28">
        <f>AVERAGE(L4,L5,L6,L7,L8,L9,L10,L11,L12,L13,L14,L15,L16)</f>
        <v>3.6923076923076925</v>
      </c>
      <c r="M17" s="28">
        <f>AVERAGE(M4,M5,M6,M7,M8,M9,M10,M11,M12,M13,M14,M15,M16)</f>
        <v>2.7692307692307692</v>
      </c>
      <c r="N17" s="28">
        <f>AVERAGE(N4,N5,N6,N7,N8,N9,N10,N11,N12,N13,N14,N15,N16)</f>
        <v>2.6923076923076925</v>
      </c>
      <c r="O17" s="28">
        <f>AVERAGE(O4,O5,O6,O7,O8,O9,O10,O11,O12,O13,O14,O15,O16)</f>
        <v>2.7692307692307692</v>
      </c>
      <c r="P17" s="28">
        <f>AVERAGE(P4,P5,P6,P7,P8,P9,P10,P11,P12,P13,P14,P15,P16)</f>
        <v>2.1538461538461537</v>
      </c>
      <c r="Q17" s="28">
        <f>AVERAGE(Q4,Q5,Q6,Q7,Q8,Q9,Q10,Q11,Q12,Q13,Q14,Q15,Q16)</f>
        <v>2.7692307692307692</v>
      </c>
      <c r="R17" s="28">
        <f>AVERAGE(R4,R5,R6,R7,R8,R9,R10,R11,R12,R13,R14,R15,R16)</f>
        <v>2</v>
      </c>
      <c r="S17" s="30">
        <f>AVERAGE(S4,S5,S6,S7,S8,S9,S10,S11,S12,S13,S14,S15,S16)</f>
        <v>2</v>
      </c>
    </row>
    <row r="18" spans="3:19" ht="16.5" thickTop="1" thickBot="1" x14ac:dyDescent="0.3">
      <c r="C18" s="10" t="s">
        <v>132</v>
      </c>
      <c r="D18" s="25">
        <f>MIN(D4:D16)</f>
        <v>2</v>
      </c>
      <c r="E18" s="13">
        <f>MIN(E4:E16)</f>
        <v>1</v>
      </c>
      <c r="F18" s="13">
        <f>MIN(F4:F16)</f>
        <v>1</v>
      </c>
      <c r="G18" s="13">
        <f>MIN(G4:G16)</f>
        <v>2</v>
      </c>
      <c r="H18" s="13">
        <f>MIN(H4:H16)</f>
        <v>1</v>
      </c>
      <c r="I18" s="13">
        <f>MIN(I4:I16)</f>
        <v>1</v>
      </c>
      <c r="J18" s="13">
        <f>MIN(J4:J16)</f>
        <v>1</v>
      </c>
      <c r="K18" s="13">
        <f>MIN(K4:K16)</f>
        <v>1</v>
      </c>
      <c r="L18" s="13">
        <f>MIN(L4:L16)</f>
        <v>1</v>
      </c>
      <c r="M18" s="13">
        <f>MIN(M4:M16)</f>
        <v>1</v>
      </c>
      <c r="N18" s="13">
        <f>MIN(N4:N16)</f>
        <v>1</v>
      </c>
      <c r="O18" s="13">
        <f>MIN(O4:O16)</f>
        <v>2</v>
      </c>
      <c r="P18" s="13">
        <f>MIN(P4:P16)</f>
        <v>1</v>
      </c>
      <c r="Q18" s="13">
        <f>MIN(Q4:Q16)</f>
        <v>1</v>
      </c>
      <c r="R18" s="13">
        <f>MIN(R4:R16)</f>
        <v>1</v>
      </c>
      <c r="S18" s="31">
        <f>MIN(S4:S16)</f>
        <v>1</v>
      </c>
    </row>
    <row r="19" spans="3:19" ht="16.5" thickTop="1" thickBot="1" x14ac:dyDescent="0.3">
      <c r="C19" s="10" t="s">
        <v>133</v>
      </c>
      <c r="D19" s="25">
        <f>MAX(D4:D16)</f>
        <v>5</v>
      </c>
      <c r="E19" s="13">
        <f>MAX(E4:E16)</f>
        <v>5</v>
      </c>
      <c r="F19" s="13">
        <f>MAX(F4:F16)</f>
        <v>5</v>
      </c>
      <c r="G19" s="13">
        <f>MAX(G4:G16)</f>
        <v>4</v>
      </c>
      <c r="H19" s="13">
        <f>MAX(H4:H16)</f>
        <v>3</v>
      </c>
      <c r="I19" s="13">
        <f>MAX(I4:I16)</f>
        <v>2</v>
      </c>
      <c r="J19" s="13">
        <f>MAX(J4:J16)</f>
        <v>5</v>
      </c>
      <c r="K19" s="13">
        <f>MAX(K4:K16)</f>
        <v>3</v>
      </c>
      <c r="L19" s="13">
        <f>MAX(L4:L16)</f>
        <v>5</v>
      </c>
      <c r="M19" s="13">
        <f>MAX(M4:M16)</f>
        <v>5</v>
      </c>
      <c r="N19" s="13">
        <f>MAX(N4:N16)</f>
        <v>4</v>
      </c>
      <c r="O19" s="13">
        <f>MAX(O4:O16)</f>
        <v>4</v>
      </c>
      <c r="P19" s="13">
        <f>MAX(P4:P16)</f>
        <v>5</v>
      </c>
      <c r="Q19" s="13">
        <f>MAX(Q4:Q16)</f>
        <v>4</v>
      </c>
      <c r="R19" s="13">
        <f>MAX(R4:R16)</f>
        <v>3</v>
      </c>
      <c r="S19" s="31">
        <f>MAX(S4:S16)</f>
        <v>5</v>
      </c>
    </row>
    <row r="20" spans="3:19" ht="16.5" thickTop="1" thickBot="1" x14ac:dyDescent="0.3">
      <c r="C20" s="10" t="s">
        <v>134</v>
      </c>
      <c r="D20" s="26">
        <f>SQRT(SQRT(D17))</f>
        <v>1.3789185893472562</v>
      </c>
      <c r="E20" s="14">
        <f>SQRT(SQRT(E17))</f>
        <v>1.2426664847411093</v>
      </c>
      <c r="F20" s="14">
        <f>SQRT(SQRT(F17))</f>
        <v>1.1273765203358126</v>
      </c>
      <c r="G20" s="14">
        <f>SQRT(SQRT(G17))</f>
        <v>1.2716977157034135</v>
      </c>
      <c r="H20" s="14">
        <f>SQRT(SQRT(H17))</f>
        <v>1.2716977157034135</v>
      </c>
      <c r="I20" s="14">
        <f>SQRT(SQRT(I17))</f>
        <v>1.1533101679610531</v>
      </c>
      <c r="J20" s="14">
        <f>SQRT(SQRT(J17))</f>
        <v>1.2716977157034135</v>
      </c>
      <c r="K20" s="14">
        <f>SQRT(SQRT(K17))</f>
        <v>1.177603706924818</v>
      </c>
      <c r="L20" s="14">
        <f>SQRT(SQRT(L17))</f>
        <v>1.3861954572357555</v>
      </c>
      <c r="M20" s="14">
        <f>SQRT(SQRT(M17))</f>
        <v>1.290000228168851</v>
      </c>
      <c r="N20" s="14">
        <f>SQRT(SQRT(N17))</f>
        <v>1.2809470357062911</v>
      </c>
      <c r="O20" s="14">
        <f>SQRT(SQRT(O17))</f>
        <v>1.290000228168851</v>
      </c>
      <c r="P20" s="14">
        <f>SQRT(SQRT(P17))</f>
        <v>1.2114449105967162</v>
      </c>
      <c r="Q20" s="14">
        <f>SQRT(SQRT(Q17))</f>
        <v>1.290000228168851</v>
      </c>
      <c r="R20" s="14">
        <f>SQRT(SQRT(R17))</f>
        <v>1.189207115002721</v>
      </c>
      <c r="S20" s="32">
        <f>SQRT(SQRT(S17))</f>
        <v>1.189207115002721</v>
      </c>
    </row>
    <row r="21" spans="3:19" ht="16.5" thickTop="1" thickBot="1" x14ac:dyDescent="0.3">
      <c r="C21" s="10" t="s">
        <v>135</v>
      </c>
      <c r="D21" s="25">
        <f>COUNTIF(D4:D16,  "&gt;= 3")</f>
        <v>12</v>
      </c>
      <c r="E21" s="13">
        <f>COUNTIF(E4:E16,  "&gt;= 3")</f>
        <v>3</v>
      </c>
      <c r="F21" s="13">
        <f>COUNTIF(F4:F16,  "&gt;= 3")</f>
        <v>1</v>
      </c>
      <c r="G21" s="13">
        <f>COUNTIF(G4:G16,  "&gt;= 3")</f>
        <v>7</v>
      </c>
      <c r="H21" s="13">
        <f>COUNTIF(H4:H16,  "&gt;= 3")</f>
        <v>10</v>
      </c>
      <c r="I21" s="13">
        <f>COUNTIF(I4:I16,  "&gt;= 3")</f>
        <v>0</v>
      </c>
      <c r="J21" s="13">
        <f>COUNTIF(J4:J16,  "&gt;= 3")</f>
        <v>7</v>
      </c>
      <c r="K21" s="13">
        <f>COUNTIF(K4:K16,  "&gt;= 3")</f>
        <v>2</v>
      </c>
      <c r="L21" s="13">
        <f>COUNTIF(L4:L16,  "&gt;= 3")</f>
        <v>12</v>
      </c>
      <c r="M21" s="13">
        <f>COUNTIF(M4:M16,  "&gt;= 3")</f>
        <v>8</v>
      </c>
      <c r="N21" s="13">
        <f>COUNTIF(N4:N16,  "&gt;= 3")</f>
        <v>8</v>
      </c>
      <c r="O21" s="13">
        <f>COUNTIF(O4:O16,  "&gt;= 3")</f>
        <v>9</v>
      </c>
      <c r="P21" s="13">
        <f>COUNTIF(P4:P16,  "&gt;= 3")</f>
        <v>3</v>
      </c>
      <c r="Q21" s="13">
        <f>COUNTIF(Q4:Q16,  "&gt;= 3")</f>
        <v>9</v>
      </c>
      <c r="R21" s="13">
        <f>COUNTIF(R4:R16,  "&gt;= 3")</f>
        <v>4</v>
      </c>
      <c r="S21" s="31">
        <f>COUNTIF(S4:S16,  "&gt;= 3")</f>
        <v>2</v>
      </c>
    </row>
    <row r="22" spans="3:19" ht="16.5" thickTop="1" thickBot="1" x14ac:dyDescent="0.3">
      <c r="C22" s="10" t="s">
        <v>136</v>
      </c>
      <c r="D22" s="27">
        <f>D$4 + 24</f>
        <v>27</v>
      </c>
      <c r="E22" s="29">
        <f>E$4 + 24</f>
        <v>25</v>
      </c>
      <c r="F22" s="29">
        <f>F$4 + 24</f>
        <v>26</v>
      </c>
      <c r="G22" s="29">
        <f>G$4 + 24</f>
        <v>26</v>
      </c>
      <c r="H22" s="29">
        <f>H$4 + 24</f>
        <v>26</v>
      </c>
      <c r="I22" s="29">
        <f>I$4 + 24</f>
        <v>26</v>
      </c>
      <c r="J22" s="29">
        <f>J$4 + 24</f>
        <v>25</v>
      </c>
      <c r="K22" s="29">
        <f>K$4 + 24</f>
        <v>27</v>
      </c>
      <c r="L22" s="29">
        <f>L$4 + 24</f>
        <v>25</v>
      </c>
      <c r="M22" s="29">
        <f>M$4 + 24</f>
        <v>29</v>
      </c>
      <c r="N22" s="29">
        <f>N$4 + 24</f>
        <v>25</v>
      </c>
      <c r="O22" s="29">
        <f>O$4 + 24</f>
        <v>26</v>
      </c>
      <c r="P22" s="29">
        <f>P$4 + 24</f>
        <v>25</v>
      </c>
      <c r="Q22" s="29">
        <f>Q$4 + 24</f>
        <v>25</v>
      </c>
      <c r="R22" s="29">
        <f>R$4 + 24</f>
        <v>25</v>
      </c>
      <c r="S22" s="33">
        <f>S$4 + 24</f>
        <v>27</v>
      </c>
    </row>
  </sheetData>
  <conditionalFormatting sqref="D4:S16">
    <cfRule type="cellIs" dxfId="0" priority="1" operator="lessThan">
      <formula>3</formula>
    </cfRule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3D10-D3B5-4CAA-A5ED-3C154F5FFC00}">
  <dimension ref="A1"/>
  <sheetViews>
    <sheetView workbookViewId="0">
      <selection activeCell="M5" sqref="M5"/>
    </sheetView>
  </sheetViews>
  <sheetFormatPr defaultRowHeight="15" x14ac:dyDescent="0.25"/>
  <sheetData/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AE63-14B0-4BAE-9C55-265656E305FC}">
  <dimension ref="A1:E73"/>
  <sheetViews>
    <sheetView tabSelected="1" view="pageLayout" zoomScaleNormal="100" workbookViewId="0">
      <selection activeCell="G12" sqref="G12"/>
    </sheetView>
  </sheetViews>
  <sheetFormatPr defaultRowHeight="15" x14ac:dyDescent="0.25"/>
  <cols>
    <col min="1" max="1" width="17.85546875" bestFit="1" customWidth="1"/>
    <col min="2" max="2" width="12.7109375" bestFit="1" customWidth="1"/>
    <col min="5" max="5" width="15.28515625" customWidth="1"/>
  </cols>
  <sheetData>
    <row r="1" spans="1:5" x14ac:dyDescent="0.25">
      <c r="A1" s="2" t="s">
        <v>13</v>
      </c>
    </row>
    <row r="2" spans="1:5" x14ac:dyDescent="0.25">
      <c r="A2" s="3" t="s">
        <v>30</v>
      </c>
      <c r="B2" t="s">
        <v>122</v>
      </c>
    </row>
    <row r="3" spans="1:5" x14ac:dyDescent="0.25">
      <c r="A3" s="3" t="s">
        <v>31</v>
      </c>
      <c r="B3" t="s">
        <v>123</v>
      </c>
    </row>
    <row r="4" spans="1:5" x14ac:dyDescent="0.25">
      <c r="A4" s="3"/>
      <c r="B4" t="s">
        <v>124</v>
      </c>
    </row>
    <row r="5" spans="1:5" x14ac:dyDescent="0.25">
      <c r="A5" s="3" t="s">
        <v>32</v>
      </c>
      <c r="B5" t="s">
        <v>125</v>
      </c>
    </row>
    <row r="6" spans="1:5" x14ac:dyDescent="0.25">
      <c r="A6" s="3"/>
      <c r="B6" t="s">
        <v>121</v>
      </c>
    </row>
    <row r="8" spans="1:5" x14ac:dyDescent="0.25">
      <c r="A8" s="4" t="s">
        <v>48</v>
      </c>
      <c r="B8" s="4" t="s">
        <v>49</v>
      </c>
      <c r="C8" s="4" t="s">
        <v>50</v>
      </c>
      <c r="D8" s="4" t="s">
        <v>51</v>
      </c>
      <c r="E8" s="4" t="s">
        <v>137</v>
      </c>
    </row>
    <row r="9" spans="1:5" x14ac:dyDescent="0.25">
      <c r="A9" s="5" t="s">
        <v>66</v>
      </c>
      <c r="B9" s="6">
        <v>1988</v>
      </c>
      <c r="C9" s="6" t="s">
        <v>53</v>
      </c>
      <c r="D9" s="6">
        <v>0</v>
      </c>
      <c r="E9" s="6" t="str">
        <f>IF(C9="žena","žena","muž")</f>
        <v>žena</v>
      </c>
    </row>
    <row r="10" spans="1:5" x14ac:dyDescent="0.25">
      <c r="A10" s="5" t="s">
        <v>54</v>
      </c>
      <c r="B10" s="6">
        <v>1984</v>
      </c>
      <c r="C10" s="6" t="s">
        <v>53</v>
      </c>
      <c r="D10" s="6">
        <v>0</v>
      </c>
      <c r="E10" s="6" t="str">
        <f t="shared" ref="E10:E73" si="0">IF(C10="žena","žena","muž")</f>
        <v>žena</v>
      </c>
    </row>
    <row r="11" spans="1:5" x14ac:dyDescent="0.25">
      <c r="A11" s="5" t="s">
        <v>84</v>
      </c>
      <c r="B11" s="6">
        <v>1984</v>
      </c>
      <c r="C11" s="6" t="s">
        <v>53</v>
      </c>
      <c r="D11" s="6">
        <v>0</v>
      </c>
      <c r="E11" s="6" t="str">
        <f t="shared" si="0"/>
        <v>žena</v>
      </c>
    </row>
    <row r="12" spans="1:5" x14ac:dyDescent="0.25">
      <c r="A12" s="5" t="s">
        <v>58</v>
      </c>
      <c r="B12" s="6">
        <v>1983</v>
      </c>
      <c r="C12" s="6" t="s">
        <v>53</v>
      </c>
      <c r="D12" s="6">
        <v>0</v>
      </c>
      <c r="E12" s="6" t="str">
        <f t="shared" si="0"/>
        <v>žena</v>
      </c>
    </row>
    <row r="13" spans="1:5" x14ac:dyDescent="0.25">
      <c r="A13" s="5" t="s">
        <v>64</v>
      </c>
      <c r="B13" s="6">
        <v>1983</v>
      </c>
      <c r="C13" s="6" t="s">
        <v>53</v>
      </c>
      <c r="D13" s="6">
        <v>2</v>
      </c>
      <c r="E13" s="6" t="str">
        <f t="shared" si="0"/>
        <v>žena</v>
      </c>
    </row>
    <row r="14" spans="1:5" x14ac:dyDescent="0.25">
      <c r="A14" s="5" t="s">
        <v>60</v>
      </c>
      <c r="B14" s="6">
        <v>1982</v>
      </c>
      <c r="C14" s="6" t="s">
        <v>57</v>
      </c>
      <c r="D14" s="6">
        <v>0</v>
      </c>
      <c r="E14" s="6" t="str">
        <f t="shared" si="0"/>
        <v>muž</v>
      </c>
    </row>
    <row r="15" spans="1:5" x14ac:dyDescent="0.25">
      <c r="A15" s="5" t="s">
        <v>80</v>
      </c>
      <c r="B15" s="6">
        <v>1982</v>
      </c>
      <c r="C15" s="6" t="s">
        <v>53</v>
      </c>
      <c r="D15" s="6">
        <v>0</v>
      </c>
      <c r="E15" s="6" t="str">
        <f t="shared" si="0"/>
        <v>žena</v>
      </c>
    </row>
    <row r="16" spans="1:5" x14ac:dyDescent="0.25">
      <c r="A16" s="5" t="s">
        <v>113</v>
      </c>
      <c r="B16" s="6">
        <v>1982</v>
      </c>
      <c r="C16" s="6" t="s">
        <v>57</v>
      </c>
      <c r="D16" s="6">
        <v>1</v>
      </c>
      <c r="E16" s="6" t="str">
        <f t="shared" si="0"/>
        <v>muž</v>
      </c>
    </row>
    <row r="17" spans="1:5" x14ac:dyDescent="0.25">
      <c r="A17" s="5" t="s">
        <v>55</v>
      </c>
      <c r="B17" s="6">
        <v>1981</v>
      </c>
      <c r="C17" s="6" t="s">
        <v>53</v>
      </c>
      <c r="D17" s="6">
        <v>0</v>
      </c>
      <c r="E17" s="6" t="str">
        <f t="shared" si="0"/>
        <v>žena</v>
      </c>
    </row>
    <row r="18" spans="1:5" x14ac:dyDescent="0.25">
      <c r="A18" s="5" t="s">
        <v>77</v>
      </c>
      <c r="B18" s="6">
        <v>1981</v>
      </c>
      <c r="C18" s="6" t="s">
        <v>53</v>
      </c>
      <c r="D18" s="6">
        <v>1</v>
      </c>
      <c r="E18" s="6" t="str">
        <f t="shared" si="0"/>
        <v>žena</v>
      </c>
    </row>
    <row r="19" spans="1:5" x14ac:dyDescent="0.25">
      <c r="A19" s="5" t="s">
        <v>90</v>
      </c>
      <c r="B19" s="6">
        <v>1980</v>
      </c>
      <c r="C19" s="6" t="s">
        <v>57</v>
      </c>
      <c r="D19" s="6">
        <v>0</v>
      </c>
      <c r="E19" s="6" t="str">
        <f t="shared" si="0"/>
        <v>muž</v>
      </c>
    </row>
    <row r="20" spans="1:5" x14ac:dyDescent="0.25">
      <c r="A20" s="5" t="s">
        <v>103</v>
      </c>
      <c r="B20" s="6">
        <v>1980</v>
      </c>
      <c r="C20" s="6" t="s">
        <v>53</v>
      </c>
      <c r="D20" s="6">
        <v>1</v>
      </c>
      <c r="E20" s="6" t="str">
        <f t="shared" si="0"/>
        <v>žena</v>
      </c>
    </row>
    <row r="21" spans="1:5" x14ac:dyDescent="0.25">
      <c r="A21" s="5" t="s">
        <v>89</v>
      </c>
      <c r="B21" s="6">
        <v>1979</v>
      </c>
      <c r="C21" s="6" t="s">
        <v>57</v>
      </c>
      <c r="D21" s="6">
        <v>1</v>
      </c>
      <c r="E21" s="6" t="str">
        <f t="shared" si="0"/>
        <v>muž</v>
      </c>
    </row>
    <row r="22" spans="1:5" x14ac:dyDescent="0.25">
      <c r="A22" s="5" t="s">
        <v>82</v>
      </c>
      <c r="B22" s="6">
        <v>1978</v>
      </c>
      <c r="C22" s="6" t="s">
        <v>53</v>
      </c>
      <c r="D22" s="6">
        <v>0</v>
      </c>
      <c r="E22" s="6" t="str">
        <f t="shared" si="0"/>
        <v>žena</v>
      </c>
    </row>
    <row r="23" spans="1:5" x14ac:dyDescent="0.25">
      <c r="A23" s="5" t="s">
        <v>109</v>
      </c>
      <c r="B23" s="6">
        <v>1978</v>
      </c>
      <c r="C23" s="6" t="s">
        <v>53</v>
      </c>
      <c r="D23" s="6">
        <v>0</v>
      </c>
      <c r="E23" s="6" t="str">
        <f t="shared" si="0"/>
        <v>žena</v>
      </c>
    </row>
    <row r="24" spans="1:5" x14ac:dyDescent="0.25">
      <c r="A24" s="5" t="s">
        <v>112</v>
      </c>
      <c r="B24" s="6">
        <v>1978</v>
      </c>
      <c r="C24" s="6" t="s">
        <v>53</v>
      </c>
      <c r="D24" s="6">
        <v>0</v>
      </c>
      <c r="E24" s="6" t="str">
        <f t="shared" si="0"/>
        <v>žena</v>
      </c>
    </row>
    <row r="25" spans="1:5" x14ac:dyDescent="0.25">
      <c r="A25" s="5" t="s">
        <v>61</v>
      </c>
      <c r="B25" s="6">
        <v>1978</v>
      </c>
      <c r="C25" s="6" t="s">
        <v>53</v>
      </c>
      <c r="D25" s="6">
        <v>1</v>
      </c>
      <c r="E25" s="6" t="str">
        <f t="shared" si="0"/>
        <v>žena</v>
      </c>
    </row>
    <row r="26" spans="1:5" x14ac:dyDescent="0.25">
      <c r="A26" s="5" t="s">
        <v>96</v>
      </c>
      <c r="B26" s="6">
        <v>1978</v>
      </c>
      <c r="C26" s="6" t="s">
        <v>53</v>
      </c>
      <c r="D26" s="6">
        <v>1</v>
      </c>
      <c r="E26" s="6" t="str">
        <f t="shared" si="0"/>
        <v>žena</v>
      </c>
    </row>
    <row r="27" spans="1:5" x14ac:dyDescent="0.25">
      <c r="A27" s="5" t="s">
        <v>108</v>
      </c>
      <c r="B27" s="6">
        <v>1978</v>
      </c>
      <c r="C27" s="6" t="s">
        <v>53</v>
      </c>
      <c r="D27" s="6">
        <v>1</v>
      </c>
      <c r="E27" s="6" t="str">
        <f t="shared" si="0"/>
        <v>žena</v>
      </c>
    </row>
    <row r="28" spans="1:5" x14ac:dyDescent="0.25">
      <c r="A28" s="5" t="s">
        <v>101</v>
      </c>
      <c r="B28" s="6">
        <v>1978</v>
      </c>
      <c r="C28" s="6" t="s">
        <v>53</v>
      </c>
      <c r="D28" s="6">
        <v>2</v>
      </c>
      <c r="E28" s="6" t="str">
        <f t="shared" si="0"/>
        <v>žena</v>
      </c>
    </row>
    <row r="29" spans="1:5" x14ac:dyDescent="0.25">
      <c r="A29" s="5" t="s">
        <v>56</v>
      </c>
      <c r="B29" s="6">
        <v>1976</v>
      </c>
      <c r="C29" s="6" t="s">
        <v>57</v>
      </c>
      <c r="D29" s="6">
        <v>0</v>
      </c>
      <c r="E29" s="6" t="str">
        <f t="shared" si="0"/>
        <v>muž</v>
      </c>
    </row>
    <row r="30" spans="1:5" x14ac:dyDescent="0.25">
      <c r="A30" s="5" t="s">
        <v>93</v>
      </c>
      <c r="B30" s="6">
        <v>1976</v>
      </c>
      <c r="C30" s="6" t="s">
        <v>53</v>
      </c>
      <c r="D30" s="6">
        <v>2</v>
      </c>
      <c r="E30" s="6" t="str">
        <f t="shared" si="0"/>
        <v>žena</v>
      </c>
    </row>
    <row r="31" spans="1:5" x14ac:dyDescent="0.25">
      <c r="A31" s="5" t="s">
        <v>72</v>
      </c>
      <c r="B31" s="6">
        <v>1975</v>
      </c>
      <c r="C31" s="6" t="s">
        <v>53</v>
      </c>
      <c r="D31" s="6">
        <v>1</v>
      </c>
      <c r="E31" s="6" t="str">
        <f t="shared" si="0"/>
        <v>žena</v>
      </c>
    </row>
    <row r="32" spans="1:5" x14ac:dyDescent="0.25">
      <c r="A32" s="5" t="s">
        <v>86</v>
      </c>
      <c r="B32" s="6">
        <v>1974</v>
      </c>
      <c r="C32" s="6" t="s">
        <v>53</v>
      </c>
      <c r="D32" s="6">
        <v>2</v>
      </c>
      <c r="E32" s="6" t="str">
        <f t="shared" si="0"/>
        <v>žena</v>
      </c>
    </row>
    <row r="33" spans="1:5" x14ac:dyDescent="0.25">
      <c r="A33" s="5" t="s">
        <v>118</v>
      </c>
      <c r="B33" s="6">
        <v>1974</v>
      </c>
      <c r="C33" s="6" t="s">
        <v>53</v>
      </c>
      <c r="D33" s="6">
        <v>2</v>
      </c>
      <c r="E33" s="6" t="str">
        <f t="shared" si="0"/>
        <v>žena</v>
      </c>
    </row>
    <row r="34" spans="1:5" x14ac:dyDescent="0.25">
      <c r="A34" s="5" t="s">
        <v>107</v>
      </c>
      <c r="B34" s="6">
        <v>1973</v>
      </c>
      <c r="C34" s="6" t="s">
        <v>53</v>
      </c>
      <c r="D34" s="6">
        <v>2</v>
      </c>
      <c r="E34" s="6" t="str">
        <f t="shared" si="0"/>
        <v>žena</v>
      </c>
    </row>
    <row r="35" spans="1:5" x14ac:dyDescent="0.25">
      <c r="A35" s="5" t="s">
        <v>92</v>
      </c>
      <c r="B35" s="6">
        <v>1973</v>
      </c>
      <c r="C35" s="6" t="s">
        <v>53</v>
      </c>
      <c r="D35" s="6">
        <v>3</v>
      </c>
      <c r="E35" s="6" t="str">
        <f t="shared" si="0"/>
        <v>žena</v>
      </c>
    </row>
    <row r="36" spans="1:5" x14ac:dyDescent="0.25">
      <c r="A36" s="5" t="s">
        <v>70</v>
      </c>
      <c r="B36" s="6">
        <v>1971</v>
      </c>
      <c r="C36" s="6" t="s">
        <v>57</v>
      </c>
      <c r="D36" s="6">
        <v>3</v>
      </c>
      <c r="E36" s="6" t="str">
        <f t="shared" si="0"/>
        <v>muž</v>
      </c>
    </row>
    <row r="37" spans="1:5" x14ac:dyDescent="0.25">
      <c r="A37" s="5" t="s">
        <v>87</v>
      </c>
      <c r="B37" s="6">
        <v>1970</v>
      </c>
      <c r="C37" s="6" t="s">
        <v>53</v>
      </c>
      <c r="D37" s="6">
        <v>1</v>
      </c>
      <c r="E37" s="6" t="str">
        <f t="shared" si="0"/>
        <v>žena</v>
      </c>
    </row>
    <row r="38" spans="1:5" x14ac:dyDescent="0.25">
      <c r="A38" s="5" t="s">
        <v>115</v>
      </c>
      <c r="B38" s="6">
        <v>1970</v>
      </c>
      <c r="C38" s="6" t="s">
        <v>53</v>
      </c>
      <c r="D38" s="6">
        <v>1</v>
      </c>
      <c r="E38" s="6" t="str">
        <f t="shared" si="0"/>
        <v>žena</v>
      </c>
    </row>
    <row r="39" spans="1:5" x14ac:dyDescent="0.25">
      <c r="A39" s="5" t="s">
        <v>62</v>
      </c>
      <c r="B39" s="6">
        <v>1968</v>
      </c>
      <c r="C39" s="6" t="s">
        <v>53</v>
      </c>
      <c r="D39" s="6">
        <v>1</v>
      </c>
      <c r="E39" s="6" t="str">
        <f t="shared" si="0"/>
        <v>žena</v>
      </c>
    </row>
    <row r="40" spans="1:5" x14ac:dyDescent="0.25">
      <c r="A40" s="5" t="s">
        <v>88</v>
      </c>
      <c r="B40" s="6">
        <v>1966</v>
      </c>
      <c r="C40" s="6" t="s">
        <v>53</v>
      </c>
      <c r="D40" s="6">
        <v>1</v>
      </c>
      <c r="E40" s="6" t="str">
        <f t="shared" si="0"/>
        <v>žena</v>
      </c>
    </row>
    <row r="41" spans="1:5" x14ac:dyDescent="0.25">
      <c r="A41" s="5" t="s">
        <v>79</v>
      </c>
      <c r="B41" s="6">
        <v>1966</v>
      </c>
      <c r="C41" s="6" t="s">
        <v>53</v>
      </c>
      <c r="D41" s="6">
        <v>2</v>
      </c>
      <c r="E41" s="6" t="str">
        <f t="shared" si="0"/>
        <v>žena</v>
      </c>
    </row>
    <row r="42" spans="1:5" x14ac:dyDescent="0.25">
      <c r="A42" s="5" t="s">
        <v>114</v>
      </c>
      <c r="B42" s="6">
        <v>1965</v>
      </c>
      <c r="C42" s="6" t="s">
        <v>53</v>
      </c>
      <c r="D42" s="6">
        <v>1</v>
      </c>
      <c r="E42" s="6" t="str">
        <f t="shared" si="0"/>
        <v>žena</v>
      </c>
    </row>
    <row r="43" spans="1:5" x14ac:dyDescent="0.25">
      <c r="A43" s="5" t="s">
        <v>91</v>
      </c>
      <c r="B43" s="6">
        <v>1965</v>
      </c>
      <c r="C43" s="6" t="s">
        <v>53</v>
      </c>
      <c r="D43" s="6">
        <v>2</v>
      </c>
      <c r="E43" s="6" t="str">
        <f t="shared" si="0"/>
        <v>žena</v>
      </c>
    </row>
    <row r="44" spans="1:5" x14ac:dyDescent="0.25">
      <c r="A44" s="5" t="s">
        <v>59</v>
      </c>
      <c r="B44" s="6">
        <v>1965</v>
      </c>
      <c r="C44" s="6" t="s">
        <v>53</v>
      </c>
      <c r="D44" s="6">
        <v>3</v>
      </c>
      <c r="E44" s="6" t="str">
        <f t="shared" si="0"/>
        <v>žena</v>
      </c>
    </row>
    <row r="45" spans="1:5" x14ac:dyDescent="0.25">
      <c r="A45" s="5" t="s">
        <v>117</v>
      </c>
      <c r="B45" s="6">
        <v>1965</v>
      </c>
      <c r="C45" s="6" t="s">
        <v>53</v>
      </c>
      <c r="D45" s="6">
        <v>3</v>
      </c>
      <c r="E45" s="6" t="str">
        <f t="shared" si="0"/>
        <v>žena</v>
      </c>
    </row>
    <row r="46" spans="1:5" x14ac:dyDescent="0.25">
      <c r="A46" s="5" t="s">
        <v>71</v>
      </c>
      <c r="B46" s="6">
        <v>1964</v>
      </c>
      <c r="C46" s="6" t="s">
        <v>53</v>
      </c>
      <c r="D46" s="6">
        <v>1</v>
      </c>
      <c r="E46" s="6" t="str">
        <f t="shared" si="0"/>
        <v>žena</v>
      </c>
    </row>
    <row r="47" spans="1:5" x14ac:dyDescent="0.25">
      <c r="A47" s="5" t="s">
        <v>100</v>
      </c>
      <c r="B47" s="6">
        <v>1964</v>
      </c>
      <c r="C47" s="6" t="s">
        <v>53</v>
      </c>
      <c r="D47" s="6">
        <v>2</v>
      </c>
      <c r="E47" s="6" t="str">
        <f t="shared" si="0"/>
        <v>žena</v>
      </c>
    </row>
    <row r="48" spans="1:5" x14ac:dyDescent="0.25">
      <c r="A48" s="5" t="s">
        <v>104</v>
      </c>
      <c r="B48" s="6">
        <v>1963</v>
      </c>
      <c r="C48" s="6" t="s">
        <v>57</v>
      </c>
      <c r="D48" s="6">
        <v>1</v>
      </c>
      <c r="E48" s="6" t="str">
        <f t="shared" si="0"/>
        <v>muž</v>
      </c>
    </row>
    <row r="49" spans="1:5" x14ac:dyDescent="0.25">
      <c r="A49" s="5" t="s">
        <v>105</v>
      </c>
      <c r="B49" s="6">
        <v>1963</v>
      </c>
      <c r="C49" s="6" t="s">
        <v>53</v>
      </c>
      <c r="D49" s="6">
        <v>1</v>
      </c>
      <c r="E49" s="6" t="str">
        <f t="shared" si="0"/>
        <v>žena</v>
      </c>
    </row>
    <row r="50" spans="1:5" x14ac:dyDescent="0.25">
      <c r="A50" s="5" t="s">
        <v>63</v>
      </c>
      <c r="B50" s="6">
        <v>1963</v>
      </c>
      <c r="C50" s="6" t="s">
        <v>53</v>
      </c>
      <c r="D50" s="6">
        <v>2</v>
      </c>
      <c r="E50" s="6" t="str">
        <f t="shared" si="0"/>
        <v>žena</v>
      </c>
    </row>
    <row r="51" spans="1:5" x14ac:dyDescent="0.25">
      <c r="A51" s="5" t="s">
        <v>68</v>
      </c>
      <c r="B51" s="6">
        <v>1962</v>
      </c>
      <c r="C51" s="6" t="s">
        <v>53</v>
      </c>
      <c r="D51" s="6">
        <v>0</v>
      </c>
      <c r="E51" s="6" t="str">
        <f t="shared" si="0"/>
        <v>žena</v>
      </c>
    </row>
    <row r="52" spans="1:5" x14ac:dyDescent="0.25">
      <c r="A52" s="5" t="s">
        <v>74</v>
      </c>
      <c r="B52" s="6">
        <v>1962</v>
      </c>
      <c r="C52" s="6" t="s">
        <v>53</v>
      </c>
      <c r="D52" s="6">
        <v>1</v>
      </c>
      <c r="E52" s="6" t="str">
        <f t="shared" si="0"/>
        <v>žena</v>
      </c>
    </row>
    <row r="53" spans="1:5" x14ac:dyDescent="0.25">
      <c r="A53" s="5" t="s">
        <v>65</v>
      </c>
      <c r="B53" s="6">
        <v>1962</v>
      </c>
      <c r="C53" s="6" t="s">
        <v>53</v>
      </c>
      <c r="D53" s="6">
        <v>2</v>
      </c>
      <c r="E53" s="6" t="str">
        <f t="shared" si="0"/>
        <v>žena</v>
      </c>
    </row>
    <row r="54" spans="1:5" x14ac:dyDescent="0.25">
      <c r="A54" s="5" t="s">
        <v>95</v>
      </c>
      <c r="B54" s="6">
        <v>1961</v>
      </c>
      <c r="C54" s="6" t="s">
        <v>53</v>
      </c>
      <c r="D54" s="6">
        <v>2</v>
      </c>
      <c r="E54" s="6" t="str">
        <f t="shared" si="0"/>
        <v>žena</v>
      </c>
    </row>
    <row r="55" spans="1:5" x14ac:dyDescent="0.25">
      <c r="A55" s="5" t="s">
        <v>83</v>
      </c>
      <c r="B55" s="6">
        <v>1959</v>
      </c>
      <c r="C55" s="6" t="s">
        <v>53</v>
      </c>
      <c r="D55" s="6">
        <v>0</v>
      </c>
      <c r="E55" s="6" t="str">
        <f t="shared" si="0"/>
        <v>žena</v>
      </c>
    </row>
    <row r="56" spans="1:5" x14ac:dyDescent="0.25">
      <c r="A56" s="5" t="s">
        <v>111</v>
      </c>
      <c r="B56" s="6">
        <v>1959</v>
      </c>
      <c r="C56" s="6" t="s">
        <v>53</v>
      </c>
      <c r="D56" s="6">
        <v>2</v>
      </c>
      <c r="E56" s="6" t="str">
        <f t="shared" si="0"/>
        <v>žena</v>
      </c>
    </row>
    <row r="57" spans="1:5" x14ac:dyDescent="0.25">
      <c r="A57" s="5" t="s">
        <v>69</v>
      </c>
      <c r="B57" s="6">
        <v>1958</v>
      </c>
      <c r="C57" s="6" t="s">
        <v>53</v>
      </c>
      <c r="D57" s="6">
        <v>1</v>
      </c>
      <c r="E57" s="6" t="str">
        <f t="shared" si="0"/>
        <v>žena</v>
      </c>
    </row>
    <row r="58" spans="1:5" x14ac:dyDescent="0.25">
      <c r="A58" s="5" t="s">
        <v>73</v>
      </c>
      <c r="B58" s="6">
        <v>1958</v>
      </c>
      <c r="C58" s="6" t="s">
        <v>53</v>
      </c>
      <c r="D58" s="6">
        <v>1</v>
      </c>
      <c r="E58" s="6" t="str">
        <f t="shared" si="0"/>
        <v>žena</v>
      </c>
    </row>
    <row r="59" spans="1:5" x14ac:dyDescent="0.25">
      <c r="A59" s="5" t="s">
        <v>94</v>
      </c>
      <c r="B59" s="6">
        <v>1956</v>
      </c>
      <c r="C59" s="6" t="s">
        <v>53</v>
      </c>
      <c r="D59" s="6">
        <v>2</v>
      </c>
      <c r="E59" s="6" t="str">
        <f t="shared" si="0"/>
        <v>žena</v>
      </c>
    </row>
    <row r="60" spans="1:5" x14ac:dyDescent="0.25">
      <c r="A60" s="5" t="s">
        <v>116</v>
      </c>
      <c r="B60" s="6">
        <v>1956</v>
      </c>
      <c r="C60" s="6" t="s">
        <v>57</v>
      </c>
      <c r="D60" s="6">
        <v>2</v>
      </c>
      <c r="E60" s="6" t="str">
        <f t="shared" si="0"/>
        <v>muž</v>
      </c>
    </row>
    <row r="61" spans="1:5" x14ac:dyDescent="0.25">
      <c r="A61" s="5" t="s">
        <v>85</v>
      </c>
      <c r="B61" s="6">
        <v>1956</v>
      </c>
      <c r="C61" s="6" t="s">
        <v>53</v>
      </c>
      <c r="D61" s="6">
        <v>3</v>
      </c>
      <c r="E61" s="6" t="str">
        <f t="shared" si="0"/>
        <v>žena</v>
      </c>
    </row>
    <row r="62" spans="1:5" x14ac:dyDescent="0.25">
      <c r="A62" s="5" t="s">
        <v>52</v>
      </c>
      <c r="B62" s="6">
        <v>1955</v>
      </c>
      <c r="C62" s="6" t="s">
        <v>53</v>
      </c>
      <c r="D62" s="6">
        <v>2</v>
      </c>
      <c r="E62" s="6" t="str">
        <f t="shared" si="0"/>
        <v>žena</v>
      </c>
    </row>
    <row r="63" spans="1:5" x14ac:dyDescent="0.25">
      <c r="A63" s="5" t="s">
        <v>98</v>
      </c>
      <c r="B63" s="6">
        <v>1954</v>
      </c>
      <c r="C63" s="6" t="s">
        <v>53</v>
      </c>
      <c r="D63" s="6">
        <v>2</v>
      </c>
      <c r="E63" s="6" t="str">
        <f t="shared" si="0"/>
        <v>žena</v>
      </c>
    </row>
    <row r="64" spans="1:5" x14ac:dyDescent="0.25">
      <c r="A64" s="5" t="s">
        <v>67</v>
      </c>
      <c r="B64" s="6">
        <v>1954</v>
      </c>
      <c r="C64" s="6" t="s">
        <v>53</v>
      </c>
      <c r="D64" s="6">
        <v>4</v>
      </c>
      <c r="E64" s="6" t="str">
        <f t="shared" si="0"/>
        <v>žena</v>
      </c>
    </row>
    <row r="65" spans="1:5" x14ac:dyDescent="0.25">
      <c r="A65" s="5" t="s">
        <v>78</v>
      </c>
      <c r="B65" s="6">
        <v>1952</v>
      </c>
      <c r="C65" s="6" t="s">
        <v>53</v>
      </c>
      <c r="D65" s="6">
        <v>2</v>
      </c>
      <c r="E65" s="6" t="str">
        <f t="shared" si="0"/>
        <v>žena</v>
      </c>
    </row>
    <row r="66" spans="1:5" x14ac:dyDescent="0.25">
      <c r="A66" s="5" t="s">
        <v>81</v>
      </c>
      <c r="B66" s="6">
        <v>1952</v>
      </c>
      <c r="C66" s="6" t="s">
        <v>57</v>
      </c>
      <c r="D66" s="6">
        <v>2</v>
      </c>
      <c r="E66" s="6" t="str">
        <f t="shared" si="0"/>
        <v>muž</v>
      </c>
    </row>
    <row r="67" spans="1:5" x14ac:dyDescent="0.25">
      <c r="A67" s="5" t="s">
        <v>97</v>
      </c>
      <c r="B67" s="6">
        <v>1952</v>
      </c>
      <c r="C67" s="6" t="s">
        <v>53</v>
      </c>
      <c r="D67" s="6">
        <v>2</v>
      </c>
      <c r="E67" s="6" t="str">
        <f t="shared" si="0"/>
        <v>žena</v>
      </c>
    </row>
    <row r="68" spans="1:5" x14ac:dyDescent="0.25">
      <c r="A68" s="5" t="s">
        <v>99</v>
      </c>
      <c r="B68" s="6">
        <v>1950</v>
      </c>
      <c r="C68" s="6" t="s">
        <v>53</v>
      </c>
      <c r="D68" s="6">
        <v>2</v>
      </c>
      <c r="E68" s="6" t="str">
        <f t="shared" si="0"/>
        <v>žena</v>
      </c>
    </row>
    <row r="69" spans="1:5" x14ac:dyDescent="0.25">
      <c r="A69" s="5" t="s">
        <v>76</v>
      </c>
      <c r="B69" s="6">
        <v>1949</v>
      </c>
      <c r="C69" s="6" t="s">
        <v>53</v>
      </c>
      <c r="D69" s="6">
        <v>2</v>
      </c>
      <c r="E69" s="6" t="str">
        <f t="shared" si="0"/>
        <v>žena</v>
      </c>
    </row>
    <row r="70" spans="1:5" x14ac:dyDescent="0.25">
      <c r="A70" s="5" t="s">
        <v>102</v>
      </c>
      <c r="B70" s="6">
        <v>1949</v>
      </c>
      <c r="C70" s="6" t="s">
        <v>53</v>
      </c>
      <c r="D70" s="6">
        <v>2</v>
      </c>
      <c r="E70" s="6" t="str">
        <f t="shared" si="0"/>
        <v>žena</v>
      </c>
    </row>
    <row r="71" spans="1:5" x14ac:dyDescent="0.25">
      <c r="A71" s="5" t="s">
        <v>110</v>
      </c>
      <c r="B71" s="6">
        <v>1945</v>
      </c>
      <c r="C71" s="6" t="s">
        <v>53</v>
      </c>
      <c r="D71" s="6">
        <v>0</v>
      </c>
      <c r="E71" s="6" t="str">
        <f t="shared" si="0"/>
        <v>žena</v>
      </c>
    </row>
    <row r="72" spans="1:5" x14ac:dyDescent="0.25">
      <c r="A72" s="5" t="s">
        <v>75</v>
      </c>
      <c r="B72" s="6">
        <v>1945</v>
      </c>
      <c r="C72" s="6" t="s">
        <v>53</v>
      </c>
      <c r="D72" s="6">
        <v>3</v>
      </c>
      <c r="E72" s="6" t="str">
        <f t="shared" si="0"/>
        <v>žena</v>
      </c>
    </row>
    <row r="73" spans="1:5" x14ac:dyDescent="0.25">
      <c r="A73" s="5" t="s">
        <v>106</v>
      </c>
      <c r="B73" s="6">
        <v>1945</v>
      </c>
      <c r="C73" s="6" t="s">
        <v>53</v>
      </c>
      <c r="D73" s="6">
        <v>4</v>
      </c>
      <c r="E73" s="6" t="str">
        <f t="shared" si="0"/>
        <v>žena</v>
      </c>
    </row>
  </sheetData>
  <sortState xmlns:xlrd2="http://schemas.microsoft.com/office/spreadsheetml/2017/richdata2" ref="A9:D73">
    <sortCondition descending="1" ref="B9:B73"/>
    <sortCondition ref="D9:D73"/>
  </sortState>
  <conditionalFormatting sqref="D9:E73">
    <cfRule type="cellIs" priority="1" operator="between">
      <formula>1</formula>
      <formula>4</formula>
    </cfRule>
  </conditionalFormatting>
  <pageMargins left="0.7" right="0.7" top="0.78740157499999996" bottom="0.78740157499999996" header="0.3" footer="0.3"/>
  <pageSetup paperSize="9" orientation="portrait" r:id="rId1"/>
  <headerFooter>
    <oddHeader>&amp;L&amp;T&amp;RJan Syrovec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data</vt:lpstr>
      <vt:lpstr>TRANSPON</vt:lpstr>
      <vt:lpstr>OBLAST</vt:lpstr>
      <vt:lpstr>řazení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vacek</dc:creator>
  <cp:lastModifiedBy>Jan Syrovec</cp:lastModifiedBy>
  <cp:lastPrinted>2025-10-16T06:49:04Z</cp:lastPrinted>
  <dcterms:created xsi:type="dcterms:W3CDTF">2012-10-14T16:08:14Z</dcterms:created>
  <dcterms:modified xsi:type="dcterms:W3CDTF">2025-10-16T06:54:02Z</dcterms:modified>
</cp:coreProperties>
</file>