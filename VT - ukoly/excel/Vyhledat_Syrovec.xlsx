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C:\Users\JanSy\Desktop\VT - ukoly\excel\"/>
    </mc:Choice>
  </mc:AlternateContent>
  <xr:revisionPtr revIDLastSave="0" documentId="8_{F046B8F2-58E4-44B4-B588-4B42454BC0F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vyhledat_1" sheetId="4" r:id="rId1"/>
    <sheet name="Svyhledat_2" sheetId="1" r:id="rId2"/>
    <sheet name="Svyhledat_3" sheetId="10" r:id="rId3"/>
    <sheet name="Vvyhledat" sheetId="3" r:id="rId4"/>
    <sheet name="Vyhledávací" sheetId="8" r:id="rId5"/>
    <sheet name="Datumové" sheetId="9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0" hidden="1">Svyhledat_1!$B$3:$J$15</definedName>
    <definedName name="_xlnm._FilterDatabase" localSheetId="1" hidden="1">Svyhledat_2!$B$1:$J$14</definedName>
    <definedName name="_xlnm._FilterDatabase" localSheetId="3" hidden="1">Vvyhledat!$B$1:$J$14</definedName>
    <definedName name="_xlnm._FilterDatabase" localSheetId="4" hidden="1">Vyhledávací!$B$1:$J$14</definedName>
    <definedName name="Data">#REF!</definedName>
    <definedName name="Data_nova">#REF!</definedName>
    <definedName name="DATA2">#REF!</definedName>
    <definedName name="hovno" localSheetId="2" hidden="1">{"Normálně",#N/A,FALSE,"Knihy";#N/A,#N/A,FALSE,"Směny3"}</definedName>
    <definedName name="hovno" hidden="1">{"Normálně",#N/A,FALSE,"Knihy";#N/A,#N/A,FALSE,"Směny3"}</definedName>
    <definedName name="jiná" localSheetId="2" hidden="1">{"Normálně",#N/A,FALSE,"Knihy";#N/A,#N/A,FALSE,"Směny3"}</definedName>
    <definedName name="jiná" hidden="1">{"Normálně",#N/A,FALSE,"Knihy";#N/A,#N/A,FALSE,"Směny3"}</definedName>
    <definedName name="_xlnm.Criteria" localSheetId="0">Svyhledat_1!#REF!</definedName>
    <definedName name="_xlnm.Criteria" localSheetId="1">Svyhledat_2!#REF!</definedName>
    <definedName name="_xlnm.Criteria" localSheetId="3">Vvyhledat!#REF!</definedName>
    <definedName name="_xlnm.Criteria" localSheetId="4">Vyhledávací!#REF!</definedName>
    <definedName name="Legenda">[1]Knihy!$A$9,[1]Knihy!$A$3:$A$9,[1]Knihy!$B$3:$G$3</definedName>
    <definedName name="MakroPokus" localSheetId="0">[2]!MakroPokus</definedName>
    <definedName name="MakroPokus" localSheetId="3">[2]!MakroPokus</definedName>
    <definedName name="MakroPokus" localSheetId="4">[2]!MakroPokus</definedName>
    <definedName name="MakroPokus">[2]!MakroPokus</definedName>
    <definedName name="mzdy_hodnoty">'[3]Mzdy '!$B$4:$D$9</definedName>
    <definedName name="mzdy_legenda">'[1]Mzdy '!$A$3:$A$10,'[1]Mzdy '!$B$3:$I$3</definedName>
    <definedName name="mzdy_osoby">[3]Mzdy2!$A$4:$A$9</definedName>
    <definedName name="mzdy_součty">[3]Mzdy2!$B$10:$I$10</definedName>
    <definedName name="mzdy_vzorce">'[1]Mzdy '!$F$4:$J$10,'[1]Mzdy '!$B$10:$C$10,'[1]Mzdy '!$D$10,'[1]Mzdy '!$E$10,'[1]Mzdy '!$E$4:$E$9</definedName>
    <definedName name="nápoje" localSheetId="2" hidden="1">{"Normálně",#N/A,FALSE,"Knihy";#N/A,#N/A,FALSE,"Směny3"}</definedName>
    <definedName name="nápoje" hidden="1">{"Normálně",#N/A,FALSE,"Knihy";#N/A,#N/A,FALSE,"Směny3"}</definedName>
    <definedName name="nevím" localSheetId="2" hidden="1">{"Normálně",#N/A,FALSE,"Knihy";#N/A,#N/A,FALSE,"Směny3"}</definedName>
    <definedName name="nevím" hidden="1">{"Normálně",#N/A,FALSE,"Knihy";#N/A,#N/A,FALSE,"Směny3"}</definedName>
    <definedName name="nic" localSheetId="2" hidden="1">{"Normálně",#N/A,FALSE,"Knihy";#N/A,#N/A,FALSE,"Směny3"}</definedName>
    <definedName name="nic" hidden="1">{"Normálně",#N/A,FALSE,"Knihy";#N/A,#N/A,FALSE,"Směny3"}</definedName>
    <definedName name="ooo">[2]List2!$A$18:$B$22,[2]List2!$F$17:$G$21</definedName>
    <definedName name="Osoby" localSheetId="0">Svyhledat_1!$B$3:$L$15</definedName>
    <definedName name="Osoby" localSheetId="3">Vvyhledat!$B$1:$L$14</definedName>
    <definedName name="Osoby" localSheetId="4">Vyhledávací!$B$1:$L$14</definedName>
    <definedName name="Osoby">Svyhledat_2!$B$1:$L$14</definedName>
    <definedName name="podmínka" localSheetId="2" hidden="1">{"Normálně",#N/A,FALSE,"Knihy";#N/A,#N/A,FALSE,"Směny3"}</definedName>
    <definedName name="podmínka" hidden="1">{"Normálně",#N/A,FALSE,"Knihy";#N/A,#N/A,FALSE,"Směny3"}</definedName>
    <definedName name="Pojistné">[3]Mzdy3!$J$1</definedName>
    <definedName name="Prémie">[3]Mzdy2!$C$4:$C$9</definedName>
    <definedName name="Příplatek">[1]Mzdy2!#REF!</definedName>
    <definedName name="sdfv" localSheetId="2" hidden="1">{"Normálně",#N/A,FALSE,"Knihy";#N/A,#N/A,FALSE,"Směny3"}</definedName>
    <definedName name="sdfv" hidden="1">{"Normálně",#N/A,FALSE,"Knihy";#N/A,#N/A,FALSE,"Směny3"}</definedName>
    <definedName name="Seznam1" localSheetId="5">#REF!</definedName>
    <definedName name="Seznam1">#REF!</definedName>
    <definedName name="Titul_a_součty">[1]Trafika!$A$3:$J$3,[1]Trafika!$A$23:$J$23</definedName>
    <definedName name="Tituly">[3]Trafika!$A$4:$A$22</definedName>
    <definedName name="ÚČAST">#REF!</definedName>
    <definedName name="Výpočty">[1]Knihy!$G$4:$G$9,[1]Knihy!$B$9:$F$9</definedName>
    <definedName name="wrn.Pokusná." localSheetId="2" hidden="1">{"Normálně",#N/A,FALSE,"Knihy";#N/A,#N/A,FALSE,"Směny3"}</definedName>
    <definedName name="wrn.Pokusná." hidden="1">{"Normálně",#N/A,FALSE,"Knihy";#N/A,#N/A,FALSE,"Směny3"}</definedName>
    <definedName name="xxx">[2]List2!$A$2:$B$5,[2]List2!$D$2:$F$5</definedName>
    <definedName name="zdroj">INDIRECT("Data!$A1:$H"&amp;65536-COUNTBLANK('[4]kontingenční tabulka '!$A:$A))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9" l="1"/>
  <c r="E24" i="9"/>
  <c r="D24" i="9"/>
  <c r="C24" i="9"/>
  <c r="B19" i="9"/>
  <c r="C19" i="9" s="1"/>
  <c r="B15" i="9"/>
  <c r="C15" i="9" s="1"/>
  <c r="C2" i="9" a="1"/>
  <c r="C2" i="9" s="1"/>
  <c r="C44" i="8"/>
  <c r="C43" i="8"/>
  <c r="C42" i="8"/>
  <c r="C38" i="8"/>
  <c r="C37" i="8"/>
  <c r="C34" i="8"/>
  <c r="C33" i="8"/>
  <c r="C32" i="8"/>
  <c r="C29" i="8"/>
  <c r="D26" i="8"/>
  <c r="C26" i="8"/>
  <c r="C25" i="8"/>
  <c r="D25" i="8"/>
  <c r="D22" i="8"/>
  <c r="C22" i="8"/>
  <c r="D19" i="8"/>
  <c r="D18" i="8"/>
  <c r="C19" i="8"/>
  <c r="C18" i="8"/>
  <c r="B3" i="9"/>
  <c r="B4" i="9"/>
  <c r="B5" i="9"/>
  <c r="B6" i="9"/>
  <c r="B7" i="9"/>
  <c r="B2" i="9"/>
  <c r="E3" i="9"/>
  <c r="E4" i="9"/>
  <c r="E5" i="9"/>
  <c r="E6" i="9"/>
  <c r="E7" i="9"/>
  <c r="E2" i="9"/>
  <c r="D2" i="9" a="1"/>
  <c r="D2" i="9" s="1"/>
  <c r="C26" i="3"/>
  <c r="C22" i="3"/>
  <c r="C18" i="3"/>
  <c r="F2" i="10" a="1"/>
  <c r="F2" i="10" s="1"/>
  <c r="E2" i="10" a="1"/>
  <c r="E2" i="10" s="1"/>
  <c r="C36" i="1"/>
  <c r="C35" i="1"/>
  <c r="C34" i="1"/>
  <c r="C29" i="1"/>
  <c r="C30" i="1"/>
  <c r="C31" i="1"/>
  <c r="C26" i="1"/>
  <c r="C22" i="1"/>
  <c r="C18" i="1"/>
  <c r="C22" i="4" a="1"/>
  <c r="C22" i="4" s="1"/>
  <c r="C3" i="4" a="1"/>
  <c r="C3" i="4" s="1"/>
  <c r="L14" i="8"/>
  <c r="L13" i="8"/>
  <c r="L12" i="8"/>
  <c r="L11" i="8"/>
  <c r="L10" i="8"/>
  <c r="L9" i="8"/>
  <c r="L8" i="8"/>
  <c r="L7" i="8"/>
  <c r="L6" i="8"/>
  <c r="L5" i="8"/>
  <c r="L4" i="8"/>
  <c r="L3" i="8"/>
  <c r="L2" i="8"/>
  <c r="F19" i="9" l="1"/>
  <c r="D19" i="9"/>
  <c r="E19" i="9"/>
  <c r="F15" i="9"/>
  <c r="G15" i="9"/>
  <c r="D15" i="9"/>
  <c r="E15" i="9"/>
  <c r="L14" i="3"/>
  <c r="L13" i="3"/>
  <c r="L12" i="3"/>
  <c r="L11" i="3"/>
  <c r="L10" i="3"/>
  <c r="L9" i="3"/>
  <c r="L8" i="3"/>
  <c r="L7" i="3"/>
  <c r="L6" i="3"/>
  <c r="L5" i="3"/>
  <c r="L4" i="3"/>
  <c r="L3" i="3"/>
  <c r="L2" i="3"/>
  <c r="L2" i="1"/>
  <c r="L8" i="1"/>
  <c r="L14" i="1"/>
  <c r="L13" i="1"/>
  <c r="L4" i="1"/>
  <c r="L9" i="1"/>
  <c r="L12" i="1"/>
  <c r="L7" i="1"/>
  <c r="L5" i="1"/>
  <c r="L3" i="1"/>
  <c r="L11" i="1"/>
  <c r="L6" i="1"/>
  <c r="L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<sst xmlns="http://schemas.openxmlformats.org/spreadsheetml/2006/main" count="341" uniqueCount="137">
  <si>
    <t>Příjmení</t>
  </si>
  <si>
    <t>Jméno</t>
  </si>
  <si>
    <t>M</t>
  </si>
  <si>
    <t>Město</t>
  </si>
  <si>
    <t>Narozen</t>
  </si>
  <si>
    <t>Výška</t>
  </si>
  <si>
    <t>Váha</t>
  </si>
  <si>
    <t>Sv</t>
  </si>
  <si>
    <t>Body</t>
  </si>
  <si>
    <t>Koef.</t>
  </si>
  <si>
    <t>Výsl.</t>
  </si>
  <si>
    <t>Brázdová</t>
  </si>
  <si>
    <t>Antonie</t>
  </si>
  <si>
    <t>Brno</t>
  </si>
  <si>
    <t>Fejfarová</t>
  </si>
  <si>
    <t>Jana</t>
  </si>
  <si>
    <t>Ostrava</t>
  </si>
  <si>
    <t>Kadrnožková</t>
  </si>
  <si>
    <t>Andula</t>
  </si>
  <si>
    <t>Kolomazník</t>
  </si>
  <si>
    <t>Matyáš</t>
  </si>
  <si>
    <t>Kráčmerová</t>
  </si>
  <si>
    <t>Felicie</t>
  </si>
  <si>
    <t>Liberec</t>
  </si>
  <si>
    <t>Krepindlová</t>
  </si>
  <si>
    <t>Nataša</t>
  </si>
  <si>
    <t>Praha</t>
  </si>
  <si>
    <t>Kropáčková</t>
  </si>
  <si>
    <t>Libverda</t>
  </si>
  <si>
    <t>Nadrchal</t>
  </si>
  <si>
    <t>René</t>
  </si>
  <si>
    <t>Novák</t>
  </si>
  <si>
    <t>Jan</t>
  </si>
  <si>
    <t>Nývltová</t>
  </si>
  <si>
    <t>Otýlie</t>
  </si>
  <si>
    <t>Prchalová</t>
  </si>
  <si>
    <t>Matylda</t>
  </si>
  <si>
    <t>Rosomáková</t>
  </si>
  <si>
    <t>Ingrid</t>
  </si>
  <si>
    <t>Vopajšlík</t>
  </si>
  <si>
    <t>Hugo</t>
  </si>
  <si>
    <t>hledaná položka</t>
  </si>
  <si>
    <t>výška</t>
  </si>
  <si>
    <t>datum</t>
  </si>
  <si>
    <t>den týdne</t>
  </si>
  <si>
    <t>číslo dne</t>
  </si>
  <si>
    <t>pondělí</t>
  </si>
  <si>
    <t>úterý</t>
  </si>
  <si>
    <t>středa</t>
  </si>
  <si>
    <t>čtvrtek</t>
  </si>
  <si>
    <t>pátek</t>
  </si>
  <si>
    <t>sobota</t>
  </si>
  <si>
    <t>neděle</t>
  </si>
  <si>
    <t>č.</t>
  </si>
  <si>
    <t xml:space="preserve"> =SVYHLEDAT(B18;A2:L14;7)</t>
  </si>
  <si>
    <t>koeficient</t>
  </si>
  <si>
    <t>koeficient u 10</t>
  </si>
  <si>
    <t>body u 8</t>
  </si>
  <si>
    <t>váha u 6</t>
  </si>
  <si>
    <t>Zákazníci kteří již dostali přání:</t>
  </si>
  <si>
    <t>Seznam zákazníků:</t>
  </si>
  <si>
    <t>František</t>
  </si>
  <si>
    <t>Františka</t>
  </si>
  <si>
    <t>Zadání: Do sloupce C vložte fci Svyhledat, aby se vypsalo jmého toho kdo již přání dostal.</t>
  </si>
  <si>
    <t>Zadání: Do sloupce C vložte fci Svyhledat, aby se vypsala hodnota přání vedle toho kdo již přání dostal.</t>
  </si>
  <si>
    <t>Dnes</t>
  </si>
  <si>
    <t>Nyní</t>
  </si>
  <si>
    <t xml:space="preserve"> =DENTÝDNE(A2;2) kde pondělí =1, úterý =2,….,neděle =7</t>
  </si>
  <si>
    <t>den slovy</t>
  </si>
  <si>
    <t>den měsíce</t>
  </si>
  <si>
    <t>výsledek</t>
  </si>
  <si>
    <t>město</t>
  </si>
  <si>
    <t>výška pro Krepindlovou - pořadové číslo 6, řádek 7  - bude 162</t>
  </si>
  <si>
    <t>Doplňte:</t>
  </si>
  <si>
    <t>Datum prodeje</t>
  </si>
  <si>
    <t>Název zboží</t>
  </si>
  <si>
    <t>Měrná jednotka</t>
  </si>
  <si>
    <t>Prodáno</t>
  </si>
  <si>
    <t>Cena za kus</t>
  </si>
  <si>
    <t>Cena/ks</t>
  </si>
  <si>
    <t>lízátka</t>
  </si>
  <si>
    <t>ks</t>
  </si>
  <si>
    <t>čokoláda</t>
  </si>
  <si>
    <t>oplatka</t>
  </si>
  <si>
    <t>žvýkačky</t>
  </si>
  <si>
    <t>tyčinky</t>
  </si>
  <si>
    <t>ŘÁDEK</t>
  </si>
  <si>
    <t>ŘÁDKY</t>
  </si>
  <si>
    <t>oblast tabulky</t>
  </si>
  <si>
    <t>SLOUPCE</t>
  </si>
  <si>
    <t>SLOUPEC</t>
  </si>
  <si>
    <t>Koeficient</t>
  </si>
  <si>
    <t>na 5 řádku</t>
  </si>
  <si>
    <t>na 12 řádku</t>
  </si>
  <si>
    <t>na 3 řádku</t>
  </si>
  <si>
    <t>Doplňte den svého narození a dopočítejte ostatní data:</t>
  </si>
  <si>
    <t>rok</t>
  </si>
  <si>
    <t xml:space="preserve">hodina </t>
  </si>
  <si>
    <t>minuta</t>
  </si>
  <si>
    <t>sekunda</t>
  </si>
  <si>
    <t>Datum narození:</t>
  </si>
  <si>
    <t>měsíc</t>
  </si>
  <si>
    <t xml:space="preserve"> =měsíc</t>
  </si>
  <si>
    <t xml:space="preserve"> =den</t>
  </si>
  <si>
    <t xml:space="preserve"> =Svyhledat  - PRO VYHLEDÁVACÍ FUNCI POUŽIJTE TABULKU V OBLASTI G1:H7</t>
  </si>
  <si>
    <t xml:space="preserve"> =DNES()</t>
  </si>
  <si>
    <t xml:space="preserve"> =NYNÍ()</t>
  </si>
  <si>
    <t>INDEX</t>
  </si>
  <si>
    <t>co se nachází na 6 řádku a 6 sloupci?</t>
  </si>
  <si>
    <t>jméno Nováka</t>
  </si>
  <si>
    <t>město Brázdové</t>
  </si>
  <si>
    <t>váha Vopajšlíka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</si>
  <si>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</si>
  <si>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</si>
  <si>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</si>
  <si>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</si>
  <si>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</si>
  <si>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</si>
  <si>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</si>
  <si>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</si>
  <si>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</si>
  <si>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Tabulka hodnot:</t>
  </si>
  <si>
    <r>
      <rPr>
        <b/>
        <sz val="10"/>
        <color rgb="FFFF0000"/>
        <rFont val="Arial CE"/>
        <charset val="238"/>
      </rPr>
      <t>ÚKOL</t>
    </r>
    <r>
      <rPr>
        <sz val="10"/>
        <rFont val="Arial CE"/>
        <charset val="238"/>
      </rPr>
      <t xml:space="preserve">: 1. </t>
    </r>
    <r>
      <rPr>
        <b/>
        <sz val="10"/>
        <rFont val="Arial CE"/>
        <charset val="238"/>
      </rPr>
      <t xml:space="preserve">Doplňte sloupec E daty ze sloupce H. </t>
    </r>
    <r>
      <rPr>
        <sz val="10"/>
        <rFont val="Arial CE"/>
        <charset val="238"/>
      </rPr>
      <t xml:space="preserve"> Tzn. Potřebuji z jedné tabulky doplňovat hodnoty do druhé. V modré tabulce vlevo chci vyplnit chybějící sloupec E - dle ceníku, který je v červené tabulce. Tedy např. k lízátkům chci přiřadit 18 Kč, k oplatkám 8 Kč atd. Upravte sloupec E jako zbytek tabulky.</t>
    </r>
  </si>
  <si>
    <r>
      <t xml:space="preserve">2. </t>
    </r>
    <r>
      <rPr>
        <b/>
        <sz val="10"/>
        <rFont val="Arial CE"/>
        <charset val="238"/>
      </rPr>
      <t xml:space="preserve">Do sloupce F doplňte funkcí </t>
    </r>
    <r>
      <rPr>
        <sz val="10"/>
        <rFont val="Arial CE"/>
        <charset val="238"/>
      </rPr>
      <t>písmena ze sloupce E - žlutá tabulka, které odpovídají počtu prodaných kusů. Pomocná tabulka je v oblasti D18:E26. Pojmenujte sloupec F.</t>
    </r>
  </si>
  <si>
    <t xml:space="preserve">3. Upravce oblast A1:F15 jako tabulku, vnitřní a vnější ohraničení. </t>
  </si>
  <si>
    <t>co se nachází na 4 řádku a 5 sloupci?</t>
  </si>
  <si>
    <t>co se nachází na 7 řádku a 3 sloupci?</t>
  </si>
  <si>
    <t>POZVYHLEDAT</t>
  </si>
  <si>
    <t>jaká je pozice jména Hugo</t>
  </si>
  <si>
    <t>jaká je pozice datumu 31.08.1947</t>
  </si>
  <si>
    <t>v jakém městě žije Nývltová</t>
  </si>
  <si>
    <t>VYHLEDAT</t>
  </si>
  <si>
    <t>jaké město je na 6 řádku</t>
  </si>
  <si>
    <t>jaké jméno má Vopajšlík</t>
  </si>
  <si>
    <t>na jaké pozici je Novák</t>
  </si>
  <si>
    <t>použijte libovolné vyhledávací funkce</t>
  </si>
  <si>
    <t>Písmeno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</si>
</sst>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\ &quot;Kč&quot;"/>
    <numFmt numFmtId="166" formatCode="d/m/yyyy;@"/>
  </numFmts>
  <fonts count="20" x14ac:knownFonts="1">
    <font>
      <sz val="10"/>
      <name val="Arial CE"/>
      <charset val="238"/>
    </font>
    <font>
      <b/>
      <sz val="10"/>
      <name val="Arial CE"/>
      <charset val="238"/>
    </font>
    <font>
      <b/>
      <i/>
      <sz val="10"/>
      <name val="Arial CE"/>
      <charset val="238"/>
    </font>
    <font>
      <sz val="9"/>
      <color indexed="9"/>
      <name val="Arial CE"/>
      <charset val="238"/>
    </font>
    <font>
      <b/>
      <sz val="10"/>
      <color indexed="9"/>
      <name val="Arial CE"/>
      <family val="2"/>
      <charset val="238"/>
    </font>
    <font>
      <sz val="10"/>
      <name val="Tahoma"/>
      <family val="2"/>
      <charset val="238"/>
    </font>
    <font>
      <sz val="10"/>
      <name val="Arial"/>
      <family val="2"/>
      <charset val="238"/>
    </font>
    <font>
      <b/>
      <sz val="10"/>
      <name val="Tahoma"/>
      <family val="2"/>
      <charset val="238"/>
    </font>
    <font>
      <sz val="10"/>
      <name val="Tahoma"/>
      <family val="2"/>
    </font>
    <font>
      <sz val="10"/>
      <color rgb="FFFF0000"/>
      <name val="Tahoma"/>
      <family val="2"/>
      <charset val="238"/>
    </font>
    <font>
      <sz val="10"/>
      <color rgb="FFFF0000"/>
      <name val="Arial CE"/>
      <charset val="238"/>
    </font>
    <font>
      <b/>
      <sz val="10"/>
      <color rgb="FFFF0000"/>
      <name val="Arial CE"/>
      <charset val="238"/>
    </font>
    <font>
      <sz val="10"/>
      <color rgb="FF92D050"/>
      <name val="Tahoma"/>
      <family val="2"/>
      <charset val="238"/>
    </font>
    <font>
      <sz val="10"/>
      <color rgb="FF0070C0"/>
      <name val="Tahoma"/>
      <family val="2"/>
      <charset val="238"/>
    </font>
    <font>
      <sz val="10"/>
      <color theme="7" tint="-0.249977111117893"/>
      <name val="Tahoma"/>
      <family val="2"/>
      <charset val="238"/>
    </font>
    <font>
      <b/>
      <sz val="10"/>
      <color rgb="FFFF0000"/>
      <name val="Tahoma"/>
      <family val="2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color theme="8" tint="-0.249977111117893"/>
      <name val="Arial CE"/>
      <charset val="238"/>
    </font>
    <font>
      <sz val="9"/>
      <color rgb="FFFFC000"/>
      <name val="Arial CE"/>
      <charset val="238"/>
    </font>
  </fonts>
  <fills count="18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3" fillId="2" borderId="1">
      <alignment horizontal="center" textRotation="90" wrapText="1"/>
    </xf>
    <xf numFmtId="0" fontId="16" fillId="0" borderId="0"/>
  </cellStyleXfs>
  <cellXfs count="56">
    <xf numFmtId="0" fontId="0" fillId="0" borderId="0" xfId="0"/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7" fillId="0" borderId="0" xfId="1" applyFont="1"/>
    <xf numFmtId="0" fontId="5" fillId="0" borderId="0" xfId="1"/>
    <xf numFmtId="14" fontId="5" fillId="0" borderId="0" xfId="1" applyNumberFormat="1"/>
    <xf numFmtId="0" fontId="9" fillId="0" borderId="0" xfId="1" applyFont="1"/>
    <xf numFmtId="0" fontId="10" fillId="0" borderId="0" xfId="0" applyFont="1"/>
    <xf numFmtId="0" fontId="0" fillId="4" borderId="0" xfId="0" applyFill="1"/>
    <xf numFmtId="0" fontId="0" fillId="5" borderId="0" xfId="0" applyFill="1"/>
    <xf numFmtId="165" fontId="0" fillId="0" borderId="0" xfId="0" applyNumberFormat="1"/>
    <xf numFmtId="0" fontId="2" fillId="0" borderId="0" xfId="0" applyFont="1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 applyAlignment="1">
      <alignment horizontal="center" vertical="center" wrapText="1"/>
    </xf>
    <xf numFmtId="166" fontId="0" fillId="0" borderId="0" xfId="0" applyNumberFormat="1"/>
    <xf numFmtId="0" fontId="0" fillId="12" borderId="0" xfId="0" applyFill="1"/>
    <xf numFmtId="0" fontId="0" fillId="11" borderId="0" xfId="0" applyFill="1"/>
    <xf numFmtId="17" fontId="0" fillId="0" borderId="0" xfId="0" applyNumberFormat="1"/>
    <xf numFmtId="0" fontId="5" fillId="6" borderId="0" xfId="1" applyFill="1"/>
    <xf numFmtId="0" fontId="12" fillId="0" borderId="0" xfId="1" applyFont="1"/>
    <xf numFmtId="0" fontId="13" fillId="0" borderId="0" xfId="1" applyFont="1"/>
    <xf numFmtId="0" fontId="14" fillId="0" borderId="0" xfId="1" applyFont="1"/>
    <xf numFmtId="14" fontId="5" fillId="13" borderId="0" xfId="1" applyNumberFormat="1" applyFill="1"/>
    <xf numFmtId="14" fontId="8" fillId="13" borderId="0" xfId="2" applyNumberFormat="1" applyFont="1" applyFill="1"/>
    <xf numFmtId="0" fontId="7" fillId="13" borderId="0" xfId="1" applyFont="1" applyFill="1"/>
    <xf numFmtId="0" fontId="15" fillId="0" borderId="0" xfId="1" applyFont="1"/>
    <xf numFmtId="0" fontId="5" fillId="14" borderId="0" xfId="1" applyFill="1" applyAlignment="1">
      <alignment horizontal="center"/>
    </xf>
    <xf numFmtId="0" fontId="16" fillId="0" borderId="0" xfId="4"/>
    <xf numFmtId="0" fontId="5" fillId="14" borderId="0" xfId="1" applyFill="1"/>
    <xf numFmtId="0" fontId="0" fillId="15" borderId="0" xfId="0" applyFill="1"/>
    <xf numFmtId="0" fontId="17" fillId="0" borderId="0" xfId="0" applyFont="1" applyAlignment="1">
      <alignment horizontal="left" wrapText="1"/>
    </xf>
    <xf numFmtId="0" fontId="17" fillId="0" borderId="0" xfId="0" applyFont="1"/>
    <xf numFmtId="0" fontId="0" fillId="14" borderId="0" xfId="0" applyFill="1"/>
    <xf numFmtId="0" fontId="0" fillId="10" borderId="0" xfId="0" applyFill="1"/>
    <xf numFmtId="0" fontId="0" fillId="16" borderId="0" xfId="0" applyFill="1"/>
    <xf numFmtId="0" fontId="18" fillId="17" borderId="0" xfId="0" applyFont="1" applyFill="1" applyAlignment="1">
      <alignment horizontal="center"/>
    </xf>
    <xf numFmtId="0" fontId="0" fillId="11" borderId="3" xfId="0" applyFill="1" applyBorder="1" applyAlignment="1">
      <alignment horizontal="center" vertical="center" wrapText="1"/>
    </xf>
    <xf numFmtId="0" fontId="0" fillId="0" borderId="3" xfId="0" applyBorder="1"/>
    <xf numFmtId="165" fontId="0" fillId="0" borderId="3" xfId="0" applyNumberFormat="1" applyBorder="1"/>
    <xf numFmtId="0" fontId="17" fillId="0" borderId="0" xfId="0" applyFont="1" applyAlignment="1">
      <alignment wrapText="1"/>
    </xf>
    <xf numFmtId="0" fontId="19" fillId="0" borderId="0" xfId="0" applyFont="1"/>
    <xf numFmtId="0" fontId="0" fillId="4" borderId="0" xfId="0" applyFill="1" applyAlignment="1">
      <alignment horizontal="left"/>
    </xf>
    <xf numFmtId="0" fontId="11" fillId="4" borderId="0" xfId="0" applyFont="1" applyFill="1" applyAlignment="1">
      <alignment horizontal="center"/>
    </xf>
    <xf numFmtId="0" fontId="11" fillId="4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14" fontId="16" fillId="0" borderId="0" xfId="4" applyNumberFormat="1"/>
    <xf numFmtId="22" fontId="16" fillId="0" borderId="0" xfId="4" applyNumberFormat="1"/>
  </cellXfs>
  <cellStyles count="5">
    <cellStyle name="Normální" xfId="0" builtinId="0"/>
    <cellStyle name="Normální 2" xfId="4" xr:uid="{A740C66F-2AFE-484A-B0A9-478055DF6AFF}"/>
    <cellStyle name="normální_3_datumove_funkce" xfId="1" xr:uid="{00000000-0005-0000-0000-000001000000}"/>
    <cellStyle name="normální_3_logicke_funkce" xfId="2" xr:uid="{00000000-0005-0000-0000-000002000000}"/>
    <cellStyle name="Svislá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221402</xdr:colOff>
      <xdr:row>1</xdr:row>
      <xdr:rowOff>158749</xdr:rowOff>
    </xdr:from>
    <xdr:to>
      <xdr:col>15</xdr:col>
      <xdr:colOff>497990</xdr:colOff>
      <xdr:row>13</xdr:row>
      <xdr:rowOff>106821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9489" y="323979"/>
          <a:ext cx="3493705" cy="193082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8</xdr:col>
      <xdr:colOff>205401</xdr:colOff>
      <xdr:row>17</xdr:row>
      <xdr:rowOff>110153</xdr:rowOff>
    </xdr:from>
    <xdr:to>
      <xdr:col>14</xdr:col>
      <xdr:colOff>525051</xdr:colOff>
      <xdr:row>27</xdr:row>
      <xdr:rowOff>111132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3488" y="2919056"/>
          <a:ext cx="2924446" cy="181850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478692</xdr:colOff>
      <xdr:row>18</xdr:row>
      <xdr:rowOff>136770</xdr:rowOff>
    </xdr:from>
    <xdr:to>
      <xdr:col>10</xdr:col>
      <xdr:colOff>319063</xdr:colOff>
      <xdr:row>37</xdr:row>
      <xdr:rowOff>133538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381B1227-045C-489B-B091-09360C515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1423" y="3057770"/>
          <a:ext cx="2898140" cy="307896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17</xdr:row>
      <xdr:rowOff>6350</xdr:rowOff>
    </xdr:from>
    <xdr:to>
      <xdr:col>13</xdr:col>
      <xdr:colOff>514642</xdr:colOff>
      <xdr:row>31</xdr:row>
      <xdr:rowOff>137304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A1638C82-54A3-4866-9123-6C847CB15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8500" y="2863850"/>
          <a:ext cx="3981742" cy="2353454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200270</xdr:colOff>
      <xdr:row>16</xdr:row>
      <xdr:rowOff>39077</xdr:rowOff>
    </xdr:from>
    <xdr:to>
      <xdr:col>10</xdr:col>
      <xdr:colOff>128701</xdr:colOff>
      <xdr:row>27</xdr:row>
      <xdr:rowOff>65135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DC905F16-9B01-42C5-91B5-3361121DB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4116" y="2627923"/>
          <a:ext cx="3245085" cy="181382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356575</xdr:colOff>
      <xdr:row>16</xdr:row>
      <xdr:rowOff>26864</xdr:rowOff>
    </xdr:from>
    <xdr:to>
      <xdr:col>13</xdr:col>
      <xdr:colOff>429845</xdr:colOff>
      <xdr:row>31</xdr:row>
      <xdr:rowOff>65943</xdr:rowOff>
    </xdr:to>
    <xdr:pic>
      <xdr:nvPicPr>
        <xdr:cNvPr id="3" name="Obrázek 2" descr="Obsah obrázku text, snímek obrazovky, číslo, Písmo&#10;&#10;Popis byl vytvořen automaticky">
          <a:extLst>
            <a:ext uri="{FF2B5EF4-FFF2-40B4-BE49-F238E27FC236}">
              <a16:creationId xmlns:a16="http://schemas.microsoft.com/office/drawing/2014/main" id="{B07FF610-B89B-7824-6C21-09DC6C094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4325" y="2613268"/>
          <a:ext cx="2835520" cy="245696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587166</xdr:colOff>
      <xdr:row>2</xdr:row>
      <xdr:rowOff>85480</xdr:rowOff>
    </xdr:from>
    <xdr:ext cx="4308429" cy="2851009"/>
    <xdr:pic>
      <xdr:nvPicPr>
        <xdr:cNvPr id="2" name="Obrázek 1">
          <a:extLst>
            <a:ext uri="{FF2B5EF4-FFF2-40B4-BE49-F238E27FC236}">
              <a16:creationId xmlns:a16="http://schemas.microsoft.com/office/drawing/2014/main" id="{800DCA26-015B-4D66-AA45-A480428E3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1253" y="402980"/>
          <a:ext cx="4308429" cy="285100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keta\Pokusn&#253;%20se&#353;it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CITELKY%20EXCEL\Excel\PokPo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809301\aplikace\Dokumenty\Dokumenty\Pokusn&#253;%20se&#353;it%2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otaga.DELTA/Downloads/Opakovani_excel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l"/>
      <sheetName val="Knihy"/>
      <sheetName val="Knihy (2)"/>
      <sheetName val="List5"/>
      <sheetName val="List4"/>
      <sheetName val="Výběr"/>
      <sheetName val="Oblast"/>
      <sheetName val="Formáty"/>
      <sheetName val="Řady"/>
      <sheetName val="Šachy"/>
      <sheetName val="Mzdy "/>
      <sheetName val="Směny3"/>
      <sheetName val="Mzdy_old"/>
      <sheetName val="Mzdy3"/>
      <sheetName val="Směny2"/>
      <sheetName val="Směny1"/>
      <sheetName val="Kruh"/>
      <sheetName val="Vzorce"/>
      <sheetName val="Trafika"/>
      <sheetName val="Data"/>
      <sheetName val="Mzdy2"/>
      <sheetName val="Vnořená fce"/>
      <sheetName val="Zaokrouhlení"/>
      <sheetName val="Násobky"/>
      <sheetName val="DPH"/>
      <sheetName val="DPH2"/>
      <sheetName val="Když"/>
      <sheetName val="Kvadrát"/>
      <sheetName val="Obrazovka"/>
      <sheetName val="Obdélník"/>
      <sheetName val="Trojúhelník"/>
      <sheetName val="Kurz"/>
      <sheetName val="List1 (2)"/>
      <sheetName val="List2"/>
      <sheetName val="Kurz 2"/>
      <sheetName val="Cesty1"/>
      <sheetName val="Cesty2"/>
      <sheetName val="Cesty3"/>
      <sheetName val="Cesty4"/>
      <sheetName val="List6"/>
      <sheetName val="List3"/>
      <sheetName val="denik"/>
    </sheetNames>
    <sheetDataSet>
      <sheetData sheetId="0"/>
      <sheetData sheetId="1">
        <row r="3">
          <cell r="B3">
            <v>1992</v>
          </cell>
          <cell r="C3" t="str">
            <v>1993</v>
          </cell>
          <cell r="D3">
            <v>1994</v>
          </cell>
          <cell r="E3">
            <v>1995</v>
          </cell>
          <cell r="F3">
            <v>1996</v>
          </cell>
          <cell r="G3" t="str">
            <v>součet</v>
          </cell>
        </row>
        <row r="4">
          <cell r="A4" t="str">
            <v>sci-fi</v>
          </cell>
          <cell r="G4">
            <v>152</v>
          </cell>
        </row>
        <row r="5">
          <cell r="A5" t="str">
            <v>detektivky</v>
          </cell>
          <cell r="G5">
            <v>50</v>
          </cell>
        </row>
        <row r="6">
          <cell r="A6" t="str">
            <v>westerny</v>
          </cell>
          <cell r="G6">
            <v>51</v>
          </cell>
        </row>
        <row r="7">
          <cell r="A7" t="str">
            <v>počítačové</v>
          </cell>
          <cell r="G7">
            <v>25</v>
          </cell>
        </row>
        <row r="8">
          <cell r="A8" t="str">
            <v>ostatní</v>
          </cell>
          <cell r="G8">
            <v>53</v>
          </cell>
        </row>
        <row r="9">
          <cell r="A9" t="str">
            <v>součet</v>
          </cell>
          <cell r="B9">
            <v>66</v>
          </cell>
          <cell r="C9">
            <v>61</v>
          </cell>
          <cell r="D9">
            <v>70</v>
          </cell>
          <cell r="E9">
            <v>75</v>
          </cell>
          <cell r="F9">
            <v>59</v>
          </cell>
          <cell r="G9">
            <v>331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Jméno</v>
          </cell>
          <cell r="B3" t="str">
            <v>Základ</v>
          </cell>
          <cell r="C3" t="str">
            <v>Prémie</v>
          </cell>
          <cell r="D3" t="str">
            <v>Příplatek</v>
          </cell>
          <cell r="E3" t="str">
            <v>Hrubá</v>
          </cell>
          <cell r="F3" t="str">
            <v>Pojištění</v>
          </cell>
          <cell r="G3" t="str">
            <v>Daň</v>
          </cell>
          <cell r="H3" t="str">
            <v>Srážky</v>
          </cell>
          <cell r="I3" t="str">
            <v>Čistá</v>
          </cell>
        </row>
        <row r="4">
          <cell r="A4" t="str">
            <v>Novák</v>
          </cell>
          <cell r="E4">
            <v>7000</v>
          </cell>
          <cell r="F4">
            <v>945</v>
          </cell>
          <cell r="G4">
            <v>908.25</v>
          </cell>
          <cell r="H4">
            <v>1853.25</v>
          </cell>
          <cell r="I4">
            <v>5146.75</v>
          </cell>
        </row>
        <row r="5">
          <cell r="A5" t="str">
            <v>Nováček</v>
          </cell>
          <cell r="E5">
            <v>9300</v>
          </cell>
          <cell r="F5">
            <v>1255.5</v>
          </cell>
          <cell r="G5">
            <v>1206.675</v>
          </cell>
          <cell r="H5">
            <v>2462.1750000000002</v>
          </cell>
          <cell r="I5">
            <v>6837.8249999999998</v>
          </cell>
        </row>
        <row r="6">
          <cell r="A6" t="str">
            <v>Dvořák</v>
          </cell>
          <cell r="E6">
            <v>10700</v>
          </cell>
          <cell r="F6">
            <v>1444.5</v>
          </cell>
          <cell r="G6">
            <v>1388.325</v>
          </cell>
          <cell r="H6">
            <v>2832.8249999999998</v>
          </cell>
          <cell r="I6">
            <v>7867.1750000000002</v>
          </cell>
        </row>
        <row r="7">
          <cell r="A7" t="str">
            <v>Janeček</v>
          </cell>
          <cell r="E7">
            <v>10200</v>
          </cell>
          <cell r="F7">
            <v>1377</v>
          </cell>
          <cell r="G7">
            <v>1323.45</v>
          </cell>
          <cell r="H7">
            <v>2700.45</v>
          </cell>
          <cell r="I7">
            <v>7499.55</v>
          </cell>
        </row>
        <row r="8">
          <cell r="A8" t="str">
            <v>Dvořáček</v>
          </cell>
          <cell r="E8">
            <v>7320</v>
          </cell>
          <cell r="F8">
            <v>988.2</v>
          </cell>
          <cell r="G8">
            <v>949.77</v>
          </cell>
          <cell r="H8">
            <v>1937.97</v>
          </cell>
          <cell r="I8">
            <v>5382.03</v>
          </cell>
        </row>
        <row r="9">
          <cell r="A9" t="str">
            <v>Horáček</v>
          </cell>
          <cell r="E9">
            <v>9020</v>
          </cell>
          <cell r="F9">
            <v>1217.7</v>
          </cell>
          <cell r="G9">
            <v>1170.345</v>
          </cell>
          <cell r="H9">
            <v>2388.0450000000001</v>
          </cell>
          <cell r="I9">
            <v>6631.9549999999999</v>
          </cell>
        </row>
        <row r="10">
          <cell r="A10" t="str">
            <v>Součet</v>
          </cell>
          <cell r="B10">
            <v>43200</v>
          </cell>
          <cell r="C10">
            <v>7600</v>
          </cell>
          <cell r="D10">
            <v>2740</v>
          </cell>
          <cell r="E10">
            <v>53540</v>
          </cell>
          <cell r="F10">
            <v>7227.9</v>
          </cell>
          <cell r="G10">
            <v>6946.8149999999996</v>
          </cell>
          <cell r="H10">
            <v>14174.715</v>
          </cell>
          <cell r="I10">
            <v>39365.284999999996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Titul</v>
          </cell>
          <cell r="B3" t="str">
            <v>Nákupní cena</v>
          </cell>
          <cell r="C3" t="str">
            <v>Rabat</v>
          </cell>
          <cell r="D3" t="str">
            <v>Prodejní cena</v>
          </cell>
          <cell r="E3" t="str">
            <v>Dodáno</v>
          </cell>
          <cell r="F3" t="str">
            <v>Prodáno</v>
          </cell>
          <cell r="G3" t="str">
            <v>Tržba</v>
          </cell>
          <cell r="H3" t="str">
            <v>Náklady</v>
          </cell>
          <cell r="I3" t="str">
            <v>Penále</v>
          </cell>
          <cell r="J3" t="str">
            <v>Zisk</v>
          </cell>
        </row>
        <row r="23">
          <cell r="A23" t="str">
            <v>Celkem</v>
          </cell>
          <cell r="B23" t="str">
            <v>x</v>
          </cell>
          <cell r="C23" t="str">
            <v>x</v>
          </cell>
          <cell r="D23" t="str">
            <v>x</v>
          </cell>
          <cell r="E23">
            <v>670</v>
          </cell>
          <cell r="F23">
            <v>466</v>
          </cell>
          <cell r="G23">
            <v>12062.960000000001</v>
          </cell>
          <cell r="H23">
            <v>8616.4</v>
          </cell>
          <cell r="I23">
            <v>392.57000000000005</v>
          </cell>
          <cell r="J23">
            <v>3053.99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umAČasOK"/>
      <sheetName val="DatumAČas"/>
      <sheetName val="DatabFceOK"/>
      <sheetName val="Teplota"/>
      <sheetName val="Pracovnice"/>
      <sheetName val="Finance"/>
      <sheetName val="Krámek"/>
      <sheetName val="FinanceOK"/>
      <sheetName val="List2"/>
      <sheetName val="PokPok"/>
    </sheetNames>
    <definedNames>
      <definedName name="MakroPoku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>
            <v>11</v>
          </cell>
          <cell r="B2">
            <v>50</v>
          </cell>
          <cell r="D2">
            <v>258</v>
          </cell>
          <cell r="E2">
            <v>4785</v>
          </cell>
          <cell r="F2">
            <v>5689</v>
          </cell>
        </row>
        <row r="3">
          <cell r="A3">
            <v>33</v>
          </cell>
          <cell r="B3">
            <v>50</v>
          </cell>
          <cell r="D3" t="str">
            <v>aa</v>
          </cell>
          <cell r="E3" t="str">
            <v>j</v>
          </cell>
          <cell r="F3" t="str">
            <v>r</v>
          </cell>
        </row>
        <row r="4">
          <cell r="A4">
            <v>50</v>
          </cell>
          <cell r="B4">
            <v>142</v>
          </cell>
          <cell r="D4" t="str">
            <v>bb</v>
          </cell>
          <cell r="E4" t="str">
            <v>k</v>
          </cell>
          <cell r="F4" t="str">
            <v>f</v>
          </cell>
        </row>
        <row r="5">
          <cell r="A5">
            <v>478</v>
          </cell>
          <cell r="B5">
            <v>142</v>
          </cell>
          <cell r="D5" t="str">
            <v>cc</v>
          </cell>
          <cell r="E5" t="str">
            <v>l</v>
          </cell>
          <cell r="F5" t="str">
            <v>g</v>
          </cell>
        </row>
        <row r="17">
          <cell r="F17" t="str">
            <v>Leden</v>
          </cell>
          <cell r="G17" t="str">
            <v>1.</v>
          </cell>
        </row>
        <row r="18">
          <cell r="A18" t="str">
            <v>Pondělí</v>
          </cell>
          <cell r="B18">
            <v>12</v>
          </cell>
          <cell r="F18" t="str">
            <v>Únor</v>
          </cell>
          <cell r="G18" t="str">
            <v>2.</v>
          </cell>
        </row>
        <row r="19">
          <cell r="A19" t="str">
            <v>Úterý</v>
          </cell>
          <cell r="B19">
            <v>23</v>
          </cell>
          <cell r="F19" t="str">
            <v>Březen</v>
          </cell>
          <cell r="G19" t="str">
            <v>3.</v>
          </cell>
        </row>
        <row r="20">
          <cell r="A20" t="str">
            <v>Středa</v>
          </cell>
          <cell r="B20">
            <v>34</v>
          </cell>
          <cell r="F20" t="str">
            <v>Duben</v>
          </cell>
          <cell r="G20" t="str">
            <v>4.</v>
          </cell>
        </row>
        <row r="21">
          <cell r="A21" t="str">
            <v>Čtvrtek</v>
          </cell>
          <cell r="B21">
            <v>45</v>
          </cell>
          <cell r="F21" t="str">
            <v>Květen</v>
          </cell>
          <cell r="G21" t="str">
            <v>5.</v>
          </cell>
        </row>
        <row r="22">
          <cell r="A22" t="str">
            <v>Pátek</v>
          </cell>
          <cell r="B22">
            <v>56</v>
          </cell>
        </row>
      </sheetData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1"/>
      <sheetName val="Knihy"/>
      <sheetName val="Knihy (2)"/>
      <sheetName val="List5"/>
      <sheetName val="List4"/>
      <sheetName val="Výběr"/>
      <sheetName val="Oblast"/>
      <sheetName val="Formáty"/>
      <sheetName val="Řady"/>
      <sheetName val="Šachy"/>
      <sheetName val="Mzdy "/>
      <sheetName val="Směny3"/>
      <sheetName val="Mzdy_old"/>
      <sheetName val="Mzdy3"/>
      <sheetName val="Směny2"/>
      <sheetName val="Směny1"/>
      <sheetName val="Kruh"/>
      <sheetName val="Vzorce"/>
      <sheetName val="Trafika"/>
      <sheetName val="Data"/>
      <sheetName val="Mzdy2"/>
      <sheetName val="Vnořená fce"/>
      <sheetName val="Zaokrouhlení"/>
      <sheetName val="Násobky"/>
      <sheetName val="DPH"/>
      <sheetName val="DPH2"/>
      <sheetName val="Když"/>
      <sheetName val="Kvadrát"/>
      <sheetName val="Obrazovka"/>
      <sheetName val="Obdélník"/>
      <sheetName val="Kurz"/>
      <sheetName val="List1 (2)"/>
      <sheetName val="List2"/>
      <sheetName val="Kurz 2"/>
      <sheetName val="Cesty1"/>
      <sheetName val="Cesty2"/>
      <sheetName val="Cesty3"/>
      <sheetName val="Cesty4"/>
      <sheetName val="List6"/>
      <sheetName val="List3"/>
      <sheetName val="de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>
            <v>5300</v>
          </cell>
          <cell r="C4">
            <v>1200</v>
          </cell>
          <cell r="D4">
            <v>500</v>
          </cell>
        </row>
        <row r="5">
          <cell r="B5">
            <v>7300</v>
          </cell>
          <cell r="C5">
            <v>1500</v>
          </cell>
          <cell r="D5">
            <v>500</v>
          </cell>
        </row>
        <row r="6">
          <cell r="B6">
            <v>9000</v>
          </cell>
          <cell r="C6">
            <v>1100</v>
          </cell>
          <cell r="D6">
            <v>600</v>
          </cell>
        </row>
        <row r="7">
          <cell r="B7">
            <v>8200</v>
          </cell>
          <cell r="C7">
            <v>1200</v>
          </cell>
          <cell r="D7">
            <v>800</v>
          </cell>
        </row>
        <row r="8">
          <cell r="B8">
            <v>6200</v>
          </cell>
          <cell r="C8">
            <v>900</v>
          </cell>
          <cell r="D8">
            <v>220</v>
          </cell>
        </row>
        <row r="9">
          <cell r="B9">
            <v>7200</v>
          </cell>
          <cell r="C9">
            <v>1700</v>
          </cell>
          <cell r="D9">
            <v>120</v>
          </cell>
        </row>
      </sheetData>
      <sheetData sheetId="11"/>
      <sheetData sheetId="12"/>
      <sheetData sheetId="13">
        <row r="1">
          <cell r="J1">
            <v>0.35</v>
          </cell>
        </row>
      </sheetData>
      <sheetData sheetId="14"/>
      <sheetData sheetId="15"/>
      <sheetData sheetId="16"/>
      <sheetData sheetId="17"/>
      <sheetData sheetId="18">
        <row r="4">
          <cell r="A4" t="str">
            <v>Rodokaps</v>
          </cell>
        </row>
        <row r="5">
          <cell r="A5" t="str">
            <v>Mladá fronta Dnes</v>
          </cell>
        </row>
        <row r="6">
          <cell r="A6" t="str">
            <v>Právo</v>
          </cell>
        </row>
        <row r="7">
          <cell r="A7" t="str">
            <v>Ikarie</v>
          </cell>
        </row>
        <row r="8">
          <cell r="A8" t="str">
            <v>Mladý svět</v>
          </cell>
        </row>
        <row r="9">
          <cell r="A9" t="str">
            <v>Dorka</v>
          </cell>
        </row>
        <row r="10">
          <cell r="A10" t="str">
            <v>Překvapení</v>
          </cell>
        </row>
        <row r="11">
          <cell r="A11" t="str">
            <v>Literární noviny</v>
          </cell>
        </row>
        <row r="12">
          <cell r="A12" t="str">
            <v>Ohníček</v>
          </cell>
        </row>
        <row r="13">
          <cell r="A13" t="str">
            <v>VTM</v>
          </cell>
        </row>
        <row r="14">
          <cell r="A14" t="str">
            <v>Stereo a Video</v>
          </cell>
        </row>
        <row r="15">
          <cell r="A15" t="str">
            <v>Koktejl</v>
          </cell>
        </row>
        <row r="16">
          <cell r="A16" t="str">
            <v>Sezona</v>
          </cell>
        </row>
        <row r="17">
          <cell r="A17" t="str">
            <v>Chip</v>
          </cell>
        </row>
        <row r="18">
          <cell r="A18" t="str">
            <v>Computer World</v>
          </cell>
        </row>
        <row r="19">
          <cell r="A19" t="str">
            <v>PC Magazine</v>
          </cell>
        </row>
        <row r="20">
          <cell r="A20" t="str">
            <v>PC World</v>
          </cell>
        </row>
        <row r="21">
          <cell r="A21" t="str">
            <v>Mouse</v>
          </cell>
        </row>
        <row r="22">
          <cell r="A22" t="str">
            <v>ChipWeek</v>
          </cell>
        </row>
      </sheetData>
      <sheetData sheetId="19"/>
      <sheetData sheetId="20">
        <row r="4">
          <cell r="A4" t="str">
            <v>Novák</v>
          </cell>
          <cell r="C4">
            <v>1200</v>
          </cell>
        </row>
        <row r="5">
          <cell r="A5" t="str">
            <v>Nováček</v>
          </cell>
          <cell r="C5">
            <v>1500</v>
          </cell>
        </row>
        <row r="6">
          <cell r="A6" t="str">
            <v>Dvořák</v>
          </cell>
          <cell r="C6">
            <v>1100</v>
          </cell>
        </row>
        <row r="7">
          <cell r="A7" t="str">
            <v>Janeček</v>
          </cell>
          <cell r="C7">
            <v>1200</v>
          </cell>
        </row>
        <row r="8">
          <cell r="A8" t="str">
            <v>Dvořáček</v>
          </cell>
          <cell r="C8">
            <v>900</v>
          </cell>
        </row>
        <row r="9">
          <cell r="A9" t="str">
            <v>Horáček</v>
          </cell>
          <cell r="C9">
            <v>1700</v>
          </cell>
        </row>
        <row r="10">
          <cell r="B10">
            <v>43200</v>
          </cell>
          <cell r="C10">
            <v>7600</v>
          </cell>
          <cell r="D10">
            <v>2740</v>
          </cell>
          <cell r="E10">
            <v>53540</v>
          </cell>
          <cell r="F10">
            <v>7227.9</v>
          </cell>
          <cell r="G10">
            <v>6946.8149999999996</v>
          </cell>
          <cell r="H10">
            <v>14174.715</v>
          </cell>
          <cell r="I10">
            <v>39365.284999999996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ýsečový graf"/>
      <sheetName val="kontingenční tabulka "/>
      <sheetName val="kontingenční graf "/>
      <sheetName val="Formátovaná tabulka"/>
      <sheetName val="Mzda"/>
      <sheetName val="Rozvaha"/>
      <sheetName val="Automatický filtr"/>
      <sheetName val="Filtr ženy 20%"/>
      <sheetName val="fce když"/>
      <sheetName val="Výsledná listina"/>
      <sheetName val="Klasifikace"/>
      <sheetName val="Seskupení "/>
      <sheetName val="Souhrny "/>
      <sheetName val="Prospěch"/>
      <sheetName val="3D sloupcový graf"/>
    </sheetNames>
    <sheetDataSet>
      <sheetData sheetId="0"/>
      <sheetData sheetId="1">
        <row r="1">
          <cell r="A1" t="str">
            <v>ÚKOL</v>
          </cell>
        </row>
        <row r="12">
          <cell r="A12" t="str">
            <v>Jméno 
prodavače</v>
          </cell>
        </row>
        <row r="13">
          <cell r="A13" t="str">
            <v>Fantomas</v>
          </cell>
        </row>
        <row r="14">
          <cell r="A14" t="str">
            <v>Pavel</v>
          </cell>
        </row>
        <row r="15">
          <cell r="A15" t="str">
            <v>Fantomas</v>
          </cell>
        </row>
        <row r="16">
          <cell r="A16" t="str">
            <v>Fantomas</v>
          </cell>
        </row>
        <row r="17">
          <cell r="A17" t="str">
            <v>Pavel</v>
          </cell>
        </row>
        <row r="18">
          <cell r="A18" t="str">
            <v>Fantomas</v>
          </cell>
        </row>
        <row r="19">
          <cell r="A19" t="str">
            <v>Pavel</v>
          </cell>
        </row>
        <row r="20">
          <cell r="A20" t="str">
            <v>Pavel</v>
          </cell>
        </row>
        <row r="21">
          <cell r="A21" t="str">
            <v>Rakosniček</v>
          </cell>
        </row>
        <row r="22">
          <cell r="A22" t="str">
            <v>Rakosniček</v>
          </cell>
        </row>
        <row r="23">
          <cell r="A23" t="str">
            <v>Krakonoš</v>
          </cell>
        </row>
        <row r="24">
          <cell r="A24" t="str">
            <v>Fantomas</v>
          </cell>
        </row>
        <row r="25">
          <cell r="A25" t="str">
            <v>Rakosniček</v>
          </cell>
        </row>
        <row r="26">
          <cell r="A26" t="str">
            <v>Pavel</v>
          </cell>
        </row>
        <row r="27">
          <cell r="A27" t="str">
            <v>Fantomas</v>
          </cell>
        </row>
        <row r="28">
          <cell r="A28" t="str">
            <v>Pavel</v>
          </cell>
        </row>
        <row r="29">
          <cell r="A29" t="str">
            <v>Rakosniček</v>
          </cell>
        </row>
        <row r="30">
          <cell r="A30" t="str">
            <v>Fantomas</v>
          </cell>
        </row>
        <row r="31">
          <cell r="A31" t="str">
            <v>Krakonoš</v>
          </cell>
        </row>
        <row r="32">
          <cell r="A32" t="str">
            <v>Monika</v>
          </cell>
        </row>
        <row r="33">
          <cell r="A33" t="str">
            <v>Fantomas</v>
          </cell>
        </row>
        <row r="34">
          <cell r="A34" t="str">
            <v>Pavel</v>
          </cell>
        </row>
        <row r="35">
          <cell r="A35" t="str">
            <v>Krakonoš</v>
          </cell>
        </row>
        <row r="36">
          <cell r="A36" t="str">
            <v>Pavel</v>
          </cell>
        </row>
        <row r="37">
          <cell r="A37" t="str">
            <v>Rakosniček</v>
          </cell>
        </row>
        <row r="38">
          <cell r="A38" t="str">
            <v>Pavel</v>
          </cell>
        </row>
        <row r="39">
          <cell r="A39" t="str">
            <v>Rakosniček</v>
          </cell>
        </row>
        <row r="40">
          <cell r="A40" t="str">
            <v>Monika</v>
          </cell>
        </row>
        <row r="41">
          <cell r="A41" t="str">
            <v>Krakonoš</v>
          </cell>
        </row>
        <row r="42">
          <cell r="A42" t="str">
            <v>Rakosniček</v>
          </cell>
        </row>
        <row r="43">
          <cell r="A43" t="str">
            <v>Fantomas</v>
          </cell>
        </row>
        <row r="44">
          <cell r="A44" t="str">
            <v>Krakonoš</v>
          </cell>
        </row>
        <row r="45">
          <cell r="A45" t="str">
            <v>Pavel</v>
          </cell>
        </row>
        <row r="46">
          <cell r="A46" t="str">
            <v>Fantomas</v>
          </cell>
        </row>
        <row r="47">
          <cell r="A47" t="str">
            <v>Rakosniček</v>
          </cell>
        </row>
        <row r="48">
          <cell r="A48" t="str">
            <v>Krakonoš</v>
          </cell>
        </row>
        <row r="49">
          <cell r="A49" t="str">
            <v>Pavel</v>
          </cell>
        </row>
        <row r="50">
          <cell r="A50" t="str">
            <v>Rakosniček</v>
          </cell>
        </row>
        <row r="51">
          <cell r="A51" t="str">
            <v>Krakonoš</v>
          </cell>
        </row>
        <row r="52">
          <cell r="A52" t="str">
            <v>Monika</v>
          </cell>
        </row>
        <row r="53">
          <cell r="A53" t="str">
            <v>Pavel</v>
          </cell>
        </row>
        <row r="54">
          <cell r="A54" t="str">
            <v>Krakonoš</v>
          </cell>
        </row>
        <row r="55">
          <cell r="A55" t="str">
            <v>Pavel</v>
          </cell>
        </row>
        <row r="56">
          <cell r="A56" t="str">
            <v>Pavel</v>
          </cell>
        </row>
        <row r="57">
          <cell r="A57" t="str">
            <v>Krakonoš</v>
          </cell>
        </row>
        <row r="58">
          <cell r="A58" t="str">
            <v>Fantomas</v>
          </cell>
        </row>
        <row r="59">
          <cell r="A59" t="str">
            <v>Krakonoš</v>
          </cell>
        </row>
        <row r="60">
          <cell r="A60" t="str">
            <v>Rakosniček</v>
          </cell>
        </row>
        <row r="61">
          <cell r="A61" t="str">
            <v>Pavel</v>
          </cell>
        </row>
        <row r="62">
          <cell r="A62" t="str">
            <v>Krakonoš</v>
          </cell>
        </row>
        <row r="63">
          <cell r="A63" t="str">
            <v>Rakosniček</v>
          </cell>
        </row>
        <row r="64">
          <cell r="A64" t="str">
            <v>Monika</v>
          </cell>
        </row>
        <row r="65">
          <cell r="A65" t="str">
            <v>Rakosniček</v>
          </cell>
        </row>
        <row r="66">
          <cell r="A66" t="str">
            <v>Fantomas</v>
          </cell>
        </row>
        <row r="67">
          <cell r="A67" t="str">
            <v>Rakosniček</v>
          </cell>
        </row>
        <row r="68">
          <cell r="A68" t="str">
            <v>Fantomas</v>
          </cell>
        </row>
        <row r="69">
          <cell r="A69" t="str">
            <v>Krakonoš</v>
          </cell>
        </row>
        <row r="70">
          <cell r="A70" t="str">
            <v>Pavel</v>
          </cell>
        </row>
        <row r="71">
          <cell r="A71" t="str">
            <v>Pavel</v>
          </cell>
        </row>
        <row r="72">
          <cell r="A72" t="str">
            <v>Pavel</v>
          </cell>
        </row>
        <row r="73">
          <cell r="A73" t="str">
            <v>Monika</v>
          </cell>
        </row>
        <row r="74">
          <cell r="A74" t="str">
            <v>Pavel</v>
          </cell>
        </row>
        <row r="75">
          <cell r="A75" t="str">
            <v>Monika</v>
          </cell>
        </row>
        <row r="76">
          <cell r="A76" t="str">
            <v>Pavel</v>
          </cell>
        </row>
        <row r="77">
          <cell r="A77" t="str">
            <v>Monika</v>
          </cell>
        </row>
        <row r="78">
          <cell r="A78" t="str">
            <v>Krakonoš</v>
          </cell>
        </row>
        <row r="79">
          <cell r="A79" t="str">
            <v>Krakonoš</v>
          </cell>
        </row>
        <row r="80">
          <cell r="A80" t="str">
            <v>Rakosniček</v>
          </cell>
        </row>
        <row r="81">
          <cell r="A81" t="str">
            <v>Fantomas</v>
          </cell>
        </row>
        <row r="82">
          <cell r="A82" t="str">
            <v>Krakonoš</v>
          </cell>
        </row>
        <row r="83">
          <cell r="A83" t="str">
            <v>Fantomas</v>
          </cell>
        </row>
        <row r="84">
          <cell r="A84" t="str">
            <v>Monika</v>
          </cell>
        </row>
        <row r="85">
          <cell r="A85" t="str">
            <v>Pavel</v>
          </cell>
        </row>
        <row r="86">
          <cell r="A86" t="str">
            <v>Krakonoš</v>
          </cell>
        </row>
        <row r="87">
          <cell r="A87" t="str">
            <v>Fantomas</v>
          </cell>
        </row>
        <row r="88">
          <cell r="A88" t="str">
            <v>Fantomas</v>
          </cell>
        </row>
        <row r="89">
          <cell r="A89" t="str">
            <v>Fantomas</v>
          </cell>
        </row>
        <row r="90">
          <cell r="A90" t="str">
            <v>Krakonoš</v>
          </cell>
        </row>
        <row r="91">
          <cell r="A91" t="str">
            <v>Krakonoš</v>
          </cell>
        </row>
        <row r="92">
          <cell r="A92" t="str">
            <v>Fantomas</v>
          </cell>
        </row>
        <row r="93">
          <cell r="A93" t="str">
            <v>Monika</v>
          </cell>
        </row>
        <row r="94">
          <cell r="A94" t="str">
            <v>Rakosniček</v>
          </cell>
        </row>
        <row r="95">
          <cell r="A95" t="str">
            <v>Rakosniček</v>
          </cell>
        </row>
        <row r="96">
          <cell r="A96" t="str">
            <v>Fantomas</v>
          </cell>
        </row>
        <row r="97">
          <cell r="A97" t="str">
            <v>Fantomas</v>
          </cell>
        </row>
        <row r="98">
          <cell r="A98" t="str">
            <v>Krakonoš</v>
          </cell>
        </row>
        <row r="99">
          <cell r="A99" t="str">
            <v>Rakosniček</v>
          </cell>
        </row>
        <row r="100">
          <cell r="A100" t="str">
            <v>Fantomas</v>
          </cell>
        </row>
        <row r="101">
          <cell r="A101" t="str">
            <v>Monika</v>
          </cell>
        </row>
        <row r="102">
          <cell r="A102" t="str">
            <v>Krakonoš</v>
          </cell>
        </row>
        <row r="103">
          <cell r="A103" t="str">
            <v>Pavel</v>
          </cell>
        </row>
        <row r="104">
          <cell r="A104" t="str">
            <v>Krakonoš</v>
          </cell>
        </row>
        <row r="105">
          <cell r="A105" t="str">
            <v>Monika</v>
          </cell>
        </row>
        <row r="106">
          <cell r="A106" t="str">
            <v>Pavel</v>
          </cell>
        </row>
        <row r="107">
          <cell r="A107" t="str">
            <v>Fantomas</v>
          </cell>
        </row>
        <row r="108">
          <cell r="A108" t="str">
            <v>Monika</v>
          </cell>
        </row>
        <row r="109">
          <cell r="A109" t="str">
            <v>Monika</v>
          </cell>
        </row>
        <row r="110">
          <cell r="A110" t="str">
            <v>Monika</v>
          </cell>
        </row>
        <row r="111">
          <cell r="A111" t="str">
            <v>Krakonoš</v>
          </cell>
        </row>
        <row r="112">
          <cell r="A112" t="str">
            <v>Rakosniček</v>
          </cell>
        </row>
        <row r="113">
          <cell r="A113" t="str">
            <v>Pavel</v>
          </cell>
        </row>
        <row r="114">
          <cell r="A114" t="str">
            <v>Monika</v>
          </cell>
        </row>
        <row r="115">
          <cell r="A115" t="str">
            <v>Rakosniček</v>
          </cell>
        </row>
        <row r="116">
          <cell r="A116" t="str">
            <v>Pavel</v>
          </cell>
        </row>
        <row r="117">
          <cell r="A117" t="str">
            <v>Fantomas</v>
          </cell>
        </row>
        <row r="118">
          <cell r="A118" t="str">
            <v>Krakonoš</v>
          </cell>
        </row>
        <row r="119">
          <cell r="A119" t="str">
            <v>Monika</v>
          </cell>
        </row>
        <row r="120">
          <cell r="A120" t="str">
            <v>Rakosniček</v>
          </cell>
        </row>
        <row r="121">
          <cell r="A121" t="str">
            <v>Pavel</v>
          </cell>
        </row>
        <row r="122">
          <cell r="A122" t="str">
            <v>Fantomas</v>
          </cell>
        </row>
        <row r="123">
          <cell r="A123" t="str">
            <v>Krakonoš</v>
          </cell>
        </row>
        <row r="124">
          <cell r="A124" t="str">
            <v>Fantomas</v>
          </cell>
        </row>
        <row r="125">
          <cell r="A125" t="str">
            <v>Monika</v>
          </cell>
        </row>
        <row r="126">
          <cell r="A126" t="str">
            <v>Fantomas</v>
          </cell>
        </row>
        <row r="127">
          <cell r="A127" t="str">
            <v>Rakosniček</v>
          </cell>
        </row>
        <row r="128">
          <cell r="A128" t="str">
            <v>Fantomas</v>
          </cell>
        </row>
        <row r="129">
          <cell r="A129" t="str">
            <v>Pavel</v>
          </cell>
        </row>
        <row r="130">
          <cell r="A130" t="str">
            <v>Rakosniček</v>
          </cell>
        </row>
        <row r="131">
          <cell r="A131" t="str">
            <v>Fantomas</v>
          </cell>
        </row>
        <row r="132">
          <cell r="A132" t="str">
            <v>Krakonoš</v>
          </cell>
        </row>
        <row r="133">
          <cell r="A133" t="str">
            <v>Monika</v>
          </cell>
        </row>
        <row r="134">
          <cell r="A134" t="str">
            <v>Rakosniček</v>
          </cell>
        </row>
        <row r="135">
          <cell r="A135" t="str">
            <v>Monika</v>
          </cell>
        </row>
        <row r="136">
          <cell r="A136" t="str">
            <v>Pavel</v>
          </cell>
        </row>
        <row r="137">
          <cell r="A137" t="str">
            <v>Pavel</v>
          </cell>
        </row>
        <row r="138">
          <cell r="A138" t="str">
            <v>Krakonoš</v>
          </cell>
        </row>
        <row r="139">
          <cell r="A139" t="str">
            <v>Fantomas</v>
          </cell>
        </row>
        <row r="140">
          <cell r="A140" t="str">
            <v>Krakonoš</v>
          </cell>
        </row>
        <row r="141">
          <cell r="A141" t="str">
            <v>Fantomas</v>
          </cell>
        </row>
        <row r="142">
          <cell r="A142" t="str">
            <v>Pavel</v>
          </cell>
        </row>
        <row r="143">
          <cell r="A143" t="str">
            <v>Fantomas</v>
          </cell>
        </row>
        <row r="144">
          <cell r="A144" t="str">
            <v>Monika</v>
          </cell>
        </row>
        <row r="145">
          <cell r="A145" t="str">
            <v>Fantomas</v>
          </cell>
        </row>
        <row r="146">
          <cell r="A146" t="str">
            <v>Krakonoš</v>
          </cell>
        </row>
        <row r="147">
          <cell r="A147" t="str">
            <v>Monika</v>
          </cell>
        </row>
        <row r="148">
          <cell r="A148" t="str">
            <v>Fantomas</v>
          </cell>
        </row>
        <row r="149">
          <cell r="A149" t="str">
            <v>Rakosniček</v>
          </cell>
        </row>
        <row r="150">
          <cell r="A150" t="str">
            <v>Monika</v>
          </cell>
        </row>
        <row r="151">
          <cell r="A151" t="str">
            <v>Rakosniček</v>
          </cell>
        </row>
        <row r="152">
          <cell r="A152" t="str">
            <v>Rakosniček</v>
          </cell>
        </row>
        <row r="153">
          <cell r="A153" t="str">
            <v>Krakonoš</v>
          </cell>
        </row>
        <row r="154">
          <cell r="A154" t="str">
            <v>Rakosniček</v>
          </cell>
        </row>
        <row r="155">
          <cell r="A155" t="str">
            <v>Monika</v>
          </cell>
        </row>
        <row r="156">
          <cell r="A156" t="str">
            <v>Krakonoš</v>
          </cell>
        </row>
        <row r="157">
          <cell r="A157" t="str">
            <v>Rakosniček</v>
          </cell>
        </row>
        <row r="158">
          <cell r="A158" t="str">
            <v>Pavel</v>
          </cell>
        </row>
        <row r="159">
          <cell r="A159" t="str">
            <v>Pavel</v>
          </cell>
        </row>
        <row r="160">
          <cell r="A160" t="str">
            <v>Rakosniček</v>
          </cell>
        </row>
        <row r="161">
          <cell r="A161" t="str">
            <v>Monika</v>
          </cell>
        </row>
        <row r="162">
          <cell r="A162" t="str">
            <v>Pavel</v>
          </cell>
        </row>
        <row r="163">
          <cell r="A163" t="str">
            <v>Pavel</v>
          </cell>
        </row>
        <row r="164">
          <cell r="A164" t="str">
            <v>Fantomas</v>
          </cell>
        </row>
        <row r="165">
          <cell r="A165" t="str">
            <v>Pavel</v>
          </cell>
        </row>
        <row r="166">
          <cell r="A166" t="str">
            <v>Rakosniček</v>
          </cell>
        </row>
        <row r="167">
          <cell r="A167" t="str">
            <v>Fantomas</v>
          </cell>
        </row>
        <row r="168">
          <cell r="A168" t="str">
            <v>Fantomas</v>
          </cell>
        </row>
        <row r="169">
          <cell r="A169" t="str">
            <v>Monika</v>
          </cell>
        </row>
        <row r="170">
          <cell r="A170" t="str">
            <v>Monika</v>
          </cell>
        </row>
        <row r="171">
          <cell r="A171" t="str">
            <v>Fantomas</v>
          </cell>
        </row>
        <row r="172">
          <cell r="A172" t="str">
            <v>Monika</v>
          </cell>
        </row>
        <row r="173">
          <cell r="A173" t="str">
            <v>Pavel</v>
          </cell>
        </row>
        <row r="174">
          <cell r="A174" t="str">
            <v>Rakosniček</v>
          </cell>
        </row>
        <row r="175">
          <cell r="A175" t="str">
            <v>Monika</v>
          </cell>
        </row>
        <row r="176">
          <cell r="A176" t="str">
            <v>Fantomas</v>
          </cell>
        </row>
        <row r="177">
          <cell r="A177" t="str">
            <v>Monika</v>
          </cell>
        </row>
        <row r="178">
          <cell r="A178" t="str">
            <v>Krakonoš</v>
          </cell>
        </row>
        <row r="179">
          <cell r="A179" t="str">
            <v>Krakonoš</v>
          </cell>
        </row>
        <row r="180">
          <cell r="A180" t="str">
            <v>Monika</v>
          </cell>
        </row>
        <row r="181">
          <cell r="A181" t="str">
            <v>Rakosniček</v>
          </cell>
        </row>
        <row r="182">
          <cell r="A182" t="str">
            <v>Pavel</v>
          </cell>
        </row>
        <row r="183">
          <cell r="A183" t="str">
            <v>Rakosniček</v>
          </cell>
        </row>
        <row r="184">
          <cell r="A184" t="str">
            <v>Pavel</v>
          </cell>
        </row>
        <row r="185">
          <cell r="A185" t="str">
            <v>Rakosniček</v>
          </cell>
        </row>
        <row r="186">
          <cell r="A186" t="str">
            <v>Fantomas</v>
          </cell>
        </row>
        <row r="187">
          <cell r="A187" t="str">
            <v>Rakosniček</v>
          </cell>
        </row>
        <row r="188">
          <cell r="A188" t="str">
            <v>Fantomas</v>
          </cell>
        </row>
        <row r="189">
          <cell r="A189" t="str">
            <v>Pavel</v>
          </cell>
        </row>
        <row r="190">
          <cell r="A190" t="str">
            <v>Fantomas</v>
          </cell>
        </row>
        <row r="191">
          <cell r="A191" t="str">
            <v>Pavel</v>
          </cell>
        </row>
        <row r="192">
          <cell r="A192" t="str">
            <v>Monika</v>
          </cell>
        </row>
        <row r="193">
          <cell r="A193" t="str">
            <v>Pavel</v>
          </cell>
        </row>
        <row r="194">
          <cell r="A194" t="str">
            <v>Monika</v>
          </cell>
        </row>
        <row r="195">
          <cell r="A195" t="str">
            <v>Monika</v>
          </cell>
        </row>
        <row r="196">
          <cell r="A196" t="str">
            <v>Fantomas</v>
          </cell>
        </row>
        <row r="197">
          <cell r="A197" t="str">
            <v>Fantomas</v>
          </cell>
        </row>
        <row r="198">
          <cell r="A198" t="str">
            <v>Pavel</v>
          </cell>
        </row>
        <row r="199">
          <cell r="A199" t="str">
            <v>Krakonoš</v>
          </cell>
        </row>
        <row r="200">
          <cell r="A200" t="str">
            <v>Krakonoš</v>
          </cell>
        </row>
        <row r="201">
          <cell r="A201" t="str">
            <v>Fantomas</v>
          </cell>
        </row>
        <row r="202">
          <cell r="A202" t="str">
            <v>Krakonoš</v>
          </cell>
        </row>
        <row r="203">
          <cell r="A203" t="str">
            <v>Monika</v>
          </cell>
        </row>
        <row r="204">
          <cell r="A204" t="str">
            <v>Pavel</v>
          </cell>
        </row>
        <row r="205">
          <cell r="A205" t="str">
            <v>Monika</v>
          </cell>
        </row>
        <row r="206">
          <cell r="A206" t="str">
            <v>Fantomas</v>
          </cell>
        </row>
        <row r="207">
          <cell r="A207" t="str">
            <v>Pavel</v>
          </cell>
        </row>
        <row r="208">
          <cell r="A208" t="str">
            <v>Fantomas</v>
          </cell>
        </row>
        <row r="209">
          <cell r="A209" t="str">
            <v>Fantomas</v>
          </cell>
        </row>
        <row r="210">
          <cell r="A210" t="str">
            <v>Rakosniček</v>
          </cell>
        </row>
        <row r="211">
          <cell r="A211" t="str">
            <v>Monika</v>
          </cell>
        </row>
        <row r="212">
          <cell r="A212" t="str">
            <v>Fantomas</v>
          </cell>
        </row>
        <row r="213">
          <cell r="A213" t="str">
            <v>Rakosniček</v>
          </cell>
        </row>
        <row r="214">
          <cell r="A214" t="str">
            <v>Pavel</v>
          </cell>
        </row>
        <row r="215">
          <cell r="A215" t="str">
            <v>Pavel</v>
          </cell>
        </row>
        <row r="216">
          <cell r="A216" t="str">
            <v>Fantomas</v>
          </cell>
        </row>
        <row r="217">
          <cell r="A217" t="str">
            <v>Monika</v>
          </cell>
        </row>
        <row r="218">
          <cell r="A218" t="str">
            <v>Pavel</v>
          </cell>
        </row>
        <row r="219">
          <cell r="A219" t="str">
            <v>Rakosniček</v>
          </cell>
        </row>
        <row r="220">
          <cell r="A220" t="str">
            <v>Krakonoš</v>
          </cell>
        </row>
        <row r="221">
          <cell r="A221" t="str">
            <v>Monika</v>
          </cell>
        </row>
        <row r="222">
          <cell r="A222" t="str">
            <v>Fantomas</v>
          </cell>
        </row>
        <row r="223">
          <cell r="A223" t="str">
            <v>Krakonoš</v>
          </cell>
        </row>
        <row r="224">
          <cell r="A224" t="str">
            <v>Rakosniček</v>
          </cell>
        </row>
        <row r="225">
          <cell r="A225" t="str">
            <v>Pavel</v>
          </cell>
        </row>
        <row r="226">
          <cell r="A226" t="str">
            <v>Krakonoš</v>
          </cell>
        </row>
        <row r="227">
          <cell r="A227" t="str">
            <v>Rakosniček</v>
          </cell>
        </row>
        <row r="228">
          <cell r="A228" t="str">
            <v>Monika</v>
          </cell>
        </row>
        <row r="229">
          <cell r="A229" t="str">
            <v>Monika</v>
          </cell>
        </row>
        <row r="230">
          <cell r="A230" t="str">
            <v>Pavel</v>
          </cell>
        </row>
        <row r="231">
          <cell r="A231" t="str">
            <v>Monika</v>
          </cell>
        </row>
        <row r="232">
          <cell r="A232" t="str">
            <v>Pavel</v>
          </cell>
        </row>
        <row r="233">
          <cell r="A233" t="str">
            <v>Monika</v>
          </cell>
        </row>
        <row r="234">
          <cell r="A234" t="str">
            <v>Krakonoš</v>
          </cell>
        </row>
        <row r="235">
          <cell r="A235" t="str">
            <v>Krakonoš</v>
          </cell>
        </row>
        <row r="236">
          <cell r="A236" t="str">
            <v>Pavel</v>
          </cell>
        </row>
        <row r="237">
          <cell r="A237" t="str">
            <v>Pavel</v>
          </cell>
        </row>
        <row r="238">
          <cell r="A238" t="str">
            <v>Monika</v>
          </cell>
        </row>
        <row r="239">
          <cell r="A239" t="str">
            <v>Pavel</v>
          </cell>
        </row>
        <row r="240">
          <cell r="A240" t="str">
            <v>Rakosniček</v>
          </cell>
        </row>
        <row r="241">
          <cell r="A241" t="str">
            <v>Fantomas</v>
          </cell>
        </row>
        <row r="242">
          <cell r="A242" t="str">
            <v>Monika</v>
          </cell>
        </row>
        <row r="243">
          <cell r="A243" t="str">
            <v>Monika</v>
          </cell>
        </row>
        <row r="244">
          <cell r="A244" t="str">
            <v>Rakosniček</v>
          </cell>
        </row>
        <row r="245">
          <cell r="A245" t="str">
            <v>Monika</v>
          </cell>
        </row>
        <row r="246">
          <cell r="A246" t="str">
            <v>Fantomas</v>
          </cell>
        </row>
        <row r="247">
          <cell r="A247" t="str">
            <v>Monika</v>
          </cell>
        </row>
        <row r="248">
          <cell r="A248" t="str">
            <v>Pavel</v>
          </cell>
        </row>
        <row r="249">
          <cell r="A249" t="str">
            <v>Monika</v>
          </cell>
        </row>
        <row r="250">
          <cell r="A250" t="str">
            <v>Rakosniček</v>
          </cell>
        </row>
        <row r="251">
          <cell r="A251" t="str">
            <v>Pavel</v>
          </cell>
        </row>
        <row r="252">
          <cell r="A252" t="str">
            <v>Fantomas</v>
          </cell>
        </row>
        <row r="253">
          <cell r="A253" t="str">
            <v>Pavel</v>
          </cell>
        </row>
        <row r="254">
          <cell r="A254" t="str">
            <v>Fantomas</v>
          </cell>
        </row>
        <row r="255">
          <cell r="A255" t="str">
            <v>Rakosniček</v>
          </cell>
        </row>
        <row r="256">
          <cell r="A256" t="str">
            <v>Pavel</v>
          </cell>
        </row>
        <row r="257">
          <cell r="A257" t="str">
            <v>Fantomas</v>
          </cell>
        </row>
        <row r="258">
          <cell r="A258" t="str">
            <v>Pavel</v>
          </cell>
        </row>
        <row r="259">
          <cell r="A259" t="str">
            <v>Monika</v>
          </cell>
        </row>
        <row r="260">
          <cell r="A260" t="str">
            <v>Rakosniček</v>
          </cell>
        </row>
        <row r="261">
          <cell r="A261" t="str">
            <v>Pavel</v>
          </cell>
        </row>
        <row r="262">
          <cell r="A262" t="str">
            <v>Fantomas</v>
          </cell>
        </row>
        <row r="263">
          <cell r="A263" t="str">
            <v>Rakosniček</v>
          </cell>
        </row>
        <row r="264">
          <cell r="A264" t="str">
            <v>Krakonoš</v>
          </cell>
        </row>
        <row r="265">
          <cell r="A265" t="str">
            <v>Krakonoš</v>
          </cell>
        </row>
        <row r="266">
          <cell r="A266" t="str">
            <v>Rakosniček</v>
          </cell>
        </row>
        <row r="267">
          <cell r="A267" t="str">
            <v>Pavel</v>
          </cell>
        </row>
        <row r="268">
          <cell r="A268" t="str">
            <v>Monika</v>
          </cell>
        </row>
        <row r="269">
          <cell r="A269" t="str">
            <v>Monika</v>
          </cell>
        </row>
        <row r="270">
          <cell r="A270" t="str">
            <v>Monika</v>
          </cell>
        </row>
        <row r="271">
          <cell r="A271" t="str">
            <v>Monika</v>
          </cell>
        </row>
        <row r="272">
          <cell r="A272" t="str">
            <v>Krakonoš</v>
          </cell>
        </row>
        <row r="273">
          <cell r="A273" t="str">
            <v>Krakonoš</v>
          </cell>
        </row>
        <row r="274">
          <cell r="A274" t="str">
            <v>Monika</v>
          </cell>
        </row>
        <row r="275">
          <cell r="A275" t="str">
            <v>Monika</v>
          </cell>
        </row>
        <row r="276">
          <cell r="A276" t="str">
            <v>Fantomas</v>
          </cell>
        </row>
        <row r="277">
          <cell r="A277" t="str">
            <v>Fantomas</v>
          </cell>
        </row>
        <row r="278">
          <cell r="A278" t="str">
            <v>Fantomas</v>
          </cell>
        </row>
        <row r="279">
          <cell r="A279" t="str">
            <v>Monika</v>
          </cell>
        </row>
        <row r="280">
          <cell r="A280" t="str">
            <v>Monika</v>
          </cell>
        </row>
        <row r="281">
          <cell r="A281" t="str">
            <v>Fantomas</v>
          </cell>
        </row>
        <row r="282">
          <cell r="A282" t="str">
            <v>Krakonoš</v>
          </cell>
        </row>
        <row r="283">
          <cell r="A283" t="str">
            <v>Fantomas</v>
          </cell>
        </row>
        <row r="284">
          <cell r="A284" t="str">
            <v>Rakosniček</v>
          </cell>
        </row>
        <row r="285">
          <cell r="A285" t="str">
            <v>Pavel</v>
          </cell>
        </row>
        <row r="286">
          <cell r="A286" t="str">
            <v>Pavel</v>
          </cell>
        </row>
        <row r="287">
          <cell r="A287" t="str">
            <v>Rakosniček</v>
          </cell>
        </row>
        <row r="288">
          <cell r="A288" t="str">
            <v>Rakosniček</v>
          </cell>
        </row>
        <row r="289">
          <cell r="A289" t="str">
            <v>Rakosniček</v>
          </cell>
        </row>
        <row r="290">
          <cell r="A290" t="str">
            <v>Rakosniček</v>
          </cell>
        </row>
        <row r="291">
          <cell r="A291" t="str">
            <v>Krakonoš</v>
          </cell>
        </row>
        <row r="292">
          <cell r="A292" t="str">
            <v>Pavel</v>
          </cell>
        </row>
        <row r="293">
          <cell r="A293" t="str">
            <v>Krakonoš</v>
          </cell>
        </row>
        <row r="294">
          <cell r="A294" t="str">
            <v>Pavel</v>
          </cell>
        </row>
        <row r="295">
          <cell r="A295" t="str">
            <v>Monika</v>
          </cell>
        </row>
        <row r="296">
          <cell r="A296" t="str">
            <v>Rakosniček</v>
          </cell>
        </row>
        <row r="297">
          <cell r="A297" t="str">
            <v>Krakonoš</v>
          </cell>
        </row>
        <row r="298">
          <cell r="A298" t="str">
            <v>Fantomas</v>
          </cell>
        </row>
        <row r="299">
          <cell r="A299" t="str">
            <v>Krakonoš</v>
          </cell>
        </row>
        <row r="300">
          <cell r="A300" t="str">
            <v>Krakonoš</v>
          </cell>
        </row>
        <row r="301">
          <cell r="A301" t="str">
            <v>Fantomas</v>
          </cell>
        </row>
        <row r="302">
          <cell r="A302" t="str">
            <v>Fantomas</v>
          </cell>
        </row>
        <row r="303">
          <cell r="A303" t="str">
            <v>Monika</v>
          </cell>
        </row>
        <row r="304">
          <cell r="A304" t="str">
            <v>Fantomas</v>
          </cell>
        </row>
        <row r="305">
          <cell r="A305" t="str">
            <v>Fantomas</v>
          </cell>
        </row>
        <row r="306">
          <cell r="A306" t="str">
            <v>Krakonoš</v>
          </cell>
        </row>
        <row r="307">
          <cell r="A307" t="str">
            <v>Monika</v>
          </cell>
        </row>
        <row r="308">
          <cell r="A308" t="str">
            <v>Pavel</v>
          </cell>
        </row>
        <row r="309">
          <cell r="A309" t="str">
            <v>Fantomas</v>
          </cell>
        </row>
        <row r="310">
          <cell r="A310" t="str">
            <v>Monika</v>
          </cell>
        </row>
        <row r="311">
          <cell r="A311" t="str">
            <v>Krakonoš</v>
          </cell>
        </row>
        <row r="312">
          <cell r="A312" t="str">
            <v>Fantomas</v>
          </cell>
        </row>
        <row r="313">
          <cell r="A313" t="str">
            <v>Rakosniček</v>
          </cell>
        </row>
        <row r="314">
          <cell r="A314" t="str">
            <v>Rakosniček</v>
          </cell>
        </row>
        <row r="315">
          <cell r="A315" t="str">
            <v>Monika</v>
          </cell>
        </row>
        <row r="316">
          <cell r="A316" t="str">
            <v>Rakosniček</v>
          </cell>
        </row>
        <row r="317">
          <cell r="A317" t="str">
            <v>Monika</v>
          </cell>
        </row>
        <row r="318">
          <cell r="A318" t="str">
            <v>Pavel</v>
          </cell>
        </row>
        <row r="319">
          <cell r="A319" t="str">
            <v>Monika</v>
          </cell>
        </row>
        <row r="320">
          <cell r="A320" t="str">
            <v>Krakonoš</v>
          </cell>
        </row>
        <row r="321">
          <cell r="A321" t="str">
            <v>Rakosniček</v>
          </cell>
        </row>
        <row r="322">
          <cell r="A322" t="str">
            <v>Krakonoš</v>
          </cell>
        </row>
        <row r="323">
          <cell r="A323" t="str">
            <v>Fantomas</v>
          </cell>
        </row>
        <row r="324">
          <cell r="A324" t="str">
            <v>Krakonoš</v>
          </cell>
        </row>
        <row r="325">
          <cell r="A325" t="str">
            <v>Fantomas</v>
          </cell>
        </row>
        <row r="326">
          <cell r="A326" t="str">
            <v>Krakonoš</v>
          </cell>
        </row>
        <row r="327">
          <cell r="A327" t="str">
            <v>Fantomas</v>
          </cell>
        </row>
        <row r="328">
          <cell r="A328" t="str">
            <v>Krakonoš</v>
          </cell>
        </row>
        <row r="329">
          <cell r="A329" t="str">
            <v>Rakosniček</v>
          </cell>
        </row>
        <row r="330">
          <cell r="A330" t="str">
            <v>Rakosniček</v>
          </cell>
        </row>
        <row r="331">
          <cell r="A331" t="str">
            <v>Rakosniček</v>
          </cell>
        </row>
        <row r="332">
          <cell r="A332" t="str">
            <v>Pavel</v>
          </cell>
        </row>
        <row r="333">
          <cell r="A333" t="str">
            <v>Monika</v>
          </cell>
        </row>
        <row r="334">
          <cell r="A334" t="str">
            <v>Fantomas</v>
          </cell>
        </row>
        <row r="335">
          <cell r="A335" t="str">
            <v>Pavel</v>
          </cell>
        </row>
        <row r="336">
          <cell r="A336" t="str">
            <v>Fantomas</v>
          </cell>
        </row>
        <row r="337">
          <cell r="A337" t="str">
            <v>Rakosniček</v>
          </cell>
        </row>
        <row r="338">
          <cell r="A338" t="str">
            <v>Pavel</v>
          </cell>
        </row>
        <row r="339">
          <cell r="A339" t="str">
            <v>Krakonoš</v>
          </cell>
        </row>
        <row r="340">
          <cell r="A340" t="str">
            <v>Krakonoš</v>
          </cell>
        </row>
        <row r="341">
          <cell r="A341" t="str">
            <v>Krakonoš</v>
          </cell>
        </row>
        <row r="342">
          <cell r="A342" t="str">
            <v>Fantomas</v>
          </cell>
        </row>
        <row r="343">
          <cell r="A343" t="str">
            <v>Rakosniček</v>
          </cell>
        </row>
        <row r="344">
          <cell r="A344" t="str">
            <v>Fantomas</v>
          </cell>
        </row>
        <row r="345">
          <cell r="A345" t="str">
            <v>Krakonoš</v>
          </cell>
        </row>
        <row r="346">
          <cell r="A346" t="str">
            <v>Krakonoš</v>
          </cell>
        </row>
        <row r="347">
          <cell r="A347" t="str">
            <v>Monika</v>
          </cell>
        </row>
        <row r="348">
          <cell r="A348" t="str">
            <v>Pavel</v>
          </cell>
        </row>
        <row r="349">
          <cell r="A349" t="str">
            <v>Rakosniček</v>
          </cell>
        </row>
        <row r="350">
          <cell r="A350" t="str">
            <v>Fantomas</v>
          </cell>
        </row>
        <row r="351">
          <cell r="A351" t="str">
            <v>Pavel</v>
          </cell>
        </row>
        <row r="352">
          <cell r="A352" t="str">
            <v>Rakosniček</v>
          </cell>
        </row>
        <row r="353">
          <cell r="A353" t="str">
            <v>Pavel</v>
          </cell>
        </row>
        <row r="354">
          <cell r="A354" t="str">
            <v>Rakosniček</v>
          </cell>
        </row>
        <row r="355">
          <cell r="A355" t="str">
            <v>Rakosniček</v>
          </cell>
        </row>
        <row r="356">
          <cell r="A356" t="str">
            <v>Krakonoš</v>
          </cell>
        </row>
        <row r="357">
          <cell r="A357" t="str">
            <v>Fantomas</v>
          </cell>
        </row>
        <row r="358">
          <cell r="A358" t="str">
            <v>Fantomas</v>
          </cell>
        </row>
        <row r="359">
          <cell r="A359" t="str">
            <v>Rakosniček</v>
          </cell>
        </row>
        <row r="360">
          <cell r="A360" t="str">
            <v>Krakonoš</v>
          </cell>
        </row>
        <row r="361">
          <cell r="A361" t="str">
            <v>Monika</v>
          </cell>
        </row>
        <row r="362">
          <cell r="A362" t="str">
            <v>Krakonoš</v>
          </cell>
        </row>
        <row r="363">
          <cell r="A363" t="str">
            <v>Monika</v>
          </cell>
        </row>
        <row r="364">
          <cell r="A364" t="str">
            <v>Fantomas</v>
          </cell>
        </row>
        <row r="365">
          <cell r="A365" t="str">
            <v>Krakonoš</v>
          </cell>
        </row>
        <row r="366">
          <cell r="A366" t="str">
            <v>Pavel</v>
          </cell>
        </row>
        <row r="367">
          <cell r="A367" t="str">
            <v>Krakonoš</v>
          </cell>
        </row>
        <row r="368">
          <cell r="A368" t="str">
            <v>Fantomas</v>
          </cell>
        </row>
        <row r="369">
          <cell r="A369" t="str">
            <v>Rakosniček</v>
          </cell>
        </row>
        <row r="370">
          <cell r="A370" t="str">
            <v>Rakosniček</v>
          </cell>
        </row>
        <row r="371">
          <cell r="A371" t="str">
            <v>Monika</v>
          </cell>
        </row>
        <row r="372">
          <cell r="A372" t="str">
            <v>Monika</v>
          </cell>
        </row>
        <row r="373">
          <cell r="A373" t="str">
            <v>Rakosniček</v>
          </cell>
        </row>
        <row r="374">
          <cell r="A374" t="str">
            <v>Krakonoš</v>
          </cell>
        </row>
        <row r="375">
          <cell r="A375" t="str">
            <v>Fantomas</v>
          </cell>
        </row>
        <row r="376">
          <cell r="A376" t="str">
            <v>Krakonoš</v>
          </cell>
        </row>
        <row r="377">
          <cell r="A377" t="str">
            <v>Fantomas</v>
          </cell>
        </row>
        <row r="378">
          <cell r="A378" t="str">
            <v>Fantomas</v>
          </cell>
        </row>
        <row r="379">
          <cell r="A379" t="str">
            <v>Monika</v>
          </cell>
        </row>
        <row r="380">
          <cell r="A380" t="str">
            <v>Fantomas</v>
          </cell>
        </row>
        <row r="381">
          <cell r="A381" t="str">
            <v>Krakonoš</v>
          </cell>
        </row>
        <row r="382">
          <cell r="A382" t="str">
            <v>Fantomas</v>
          </cell>
        </row>
        <row r="383">
          <cell r="A383" t="str">
            <v>Rakosniček</v>
          </cell>
        </row>
        <row r="384">
          <cell r="A384" t="str">
            <v>Pavel</v>
          </cell>
        </row>
        <row r="385">
          <cell r="A385" t="str">
            <v>Krakonoš</v>
          </cell>
        </row>
        <row r="386">
          <cell r="A386" t="str">
            <v>Fantomas</v>
          </cell>
        </row>
        <row r="387">
          <cell r="A387" t="str">
            <v>Monika</v>
          </cell>
        </row>
        <row r="388">
          <cell r="A388" t="str">
            <v>Fantomas</v>
          </cell>
        </row>
        <row r="389">
          <cell r="A389" t="str">
            <v>Rakosniček</v>
          </cell>
        </row>
        <row r="390">
          <cell r="A390" t="str">
            <v>Rakosniček</v>
          </cell>
        </row>
        <row r="391">
          <cell r="A391" t="str">
            <v>Pavel</v>
          </cell>
        </row>
        <row r="392">
          <cell r="A392" t="str">
            <v>Fantomas</v>
          </cell>
        </row>
        <row r="393">
          <cell r="A393" t="str">
            <v>Rakosniček</v>
          </cell>
        </row>
        <row r="394">
          <cell r="A394" t="str">
            <v>Monika</v>
          </cell>
        </row>
        <row r="395">
          <cell r="A395" t="str">
            <v>Monika</v>
          </cell>
        </row>
        <row r="396">
          <cell r="A396" t="str">
            <v>Fantomas</v>
          </cell>
        </row>
        <row r="397">
          <cell r="A397" t="str">
            <v>Monika</v>
          </cell>
        </row>
        <row r="398">
          <cell r="A398" t="str">
            <v>Rakosniček</v>
          </cell>
        </row>
        <row r="399">
          <cell r="A399" t="str">
            <v>Krakonoš</v>
          </cell>
        </row>
        <row r="400">
          <cell r="A400" t="str">
            <v>Monika</v>
          </cell>
        </row>
        <row r="401">
          <cell r="A401" t="str">
            <v>Pavel</v>
          </cell>
        </row>
        <row r="402">
          <cell r="A402" t="str">
            <v>Rakosniček</v>
          </cell>
        </row>
        <row r="403">
          <cell r="A403" t="str">
            <v>Rakosniček</v>
          </cell>
        </row>
        <row r="404">
          <cell r="A404" t="str">
            <v>Krakonoš</v>
          </cell>
        </row>
        <row r="405">
          <cell r="A405" t="str">
            <v>Pavel</v>
          </cell>
        </row>
        <row r="406">
          <cell r="A406" t="str">
            <v>Pavel</v>
          </cell>
        </row>
        <row r="407">
          <cell r="A407" t="str">
            <v>Monika</v>
          </cell>
        </row>
        <row r="408">
          <cell r="A408" t="str">
            <v>Fantomas</v>
          </cell>
        </row>
        <row r="409">
          <cell r="A409" t="str">
            <v>Rakosniček</v>
          </cell>
        </row>
        <row r="410">
          <cell r="A410" t="str">
            <v>Rakosniček</v>
          </cell>
        </row>
        <row r="411">
          <cell r="A411" t="str">
            <v>Krakonoš</v>
          </cell>
        </row>
        <row r="412">
          <cell r="A412" t="str">
            <v>Fantomas</v>
          </cell>
        </row>
        <row r="413">
          <cell r="A413" t="str">
            <v>Pavel</v>
          </cell>
        </row>
        <row r="414">
          <cell r="A414" t="str">
            <v>Pavel</v>
          </cell>
        </row>
        <row r="415">
          <cell r="A415" t="str">
            <v>Rakosniček</v>
          </cell>
        </row>
        <row r="416">
          <cell r="A416" t="str">
            <v>Pavel</v>
          </cell>
        </row>
        <row r="417">
          <cell r="A417" t="str">
            <v>Pavel</v>
          </cell>
        </row>
        <row r="418">
          <cell r="A418" t="str">
            <v>Rakosniček</v>
          </cell>
        </row>
        <row r="419">
          <cell r="A419" t="str">
            <v>Pavel</v>
          </cell>
        </row>
        <row r="420">
          <cell r="A420" t="str">
            <v>Rakosniček</v>
          </cell>
        </row>
        <row r="421">
          <cell r="A421" t="str">
            <v>Monika</v>
          </cell>
        </row>
        <row r="422">
          <cell r="A422" t="str">
            <v>Rakosniček</v>
          </cell>
        </row>
        <row r="423">
          <cell r="A423" t="str">
            <v>Pavel</v>
          </cell>
        </row>
        <row r="424">
          <cell r="A424" t="str">
            <v>Pavel</v>
          </cell>
        </row>
        <row r="425">
          <cell r="A425" t="str">
            <v>Rakosniček</v>
          </cell>
        </row>
        <row r="426">
          <cell r="A426" t="str">
            <v>Fantomas</v>
          </cell>
        </row>
        <row r="427">
          <cell r="A427" t="str">
            <v>Monika</v>
          </cell>
        </row>
        <row r="428">
          <cell r="A428" t="str">
            <v>Monika</v>
          </cell>
        </row>
        <row r="429">
          <cell r="A429" t="str">
            <v>Rakosniček</v>
          </cell>
        </row>
        <row r="430">
          <cell r="A430" t="str">
            <v>Fantomas</v>
          </cell>
        </row>
        <row r="431">
          <cell r="A431" t="str">
            <v>Monika</v>
          </cell>
        </row>
        <row r="432">
          <cell r="A432" t="str">
            <v>Rakosniček</v>
          </cell>
        </row>
        <row r="433">
          <cell r="A433" t="str">
            <v>Pavel</v>
          </cell>
        </row>
        <row r="434">
          <cell r="A434" t="str">
            <v>Rakosniček</v>
          </cell>
        </row>
        <row r="435">
          <cell r="A435" t="str">
            <v>Fantomas</v>
          </cell>
        </row>
        <row r="436">
          <cell r="A436" t="str">
            <v>Rakosniček</v>
          </cell>
        </row>
        <row r="437">
          <cell r="A437" t="str">
            <v>Monika</v>
          </cell>
        </row>
        <row r="438">
          <cell r="A438" t="str">
            <v>Pavel</v>
          </cell>
        </row>
        <row r="439">
          <cell r="A439" t="str">
            <v>Fantomas</v>
          </cell>
        </row>
        <row r="440">
          <cell r="A440" t="str">
            <v>Krakonoš</v>
          </cell>
        </row>
        <row r="441">
          <cell r="A441" t="str">
            <v>Rakosniček</v>
          </cell>
        </row>
        <row r="442">
          <cell r="A442" t="str">
            <v>Krakonoš</v>
          </cell>
        </row>
        <row r="443">
          <cell r="A443" t="str">
            <v>Pavel</v>
          </cell>
        </row>
        <row r="444">
          <cell r="A444" t="str">
            <v>Rakosniček</v>
          </cell>
        </row>
        <row r="445">
          <cell r="A445" t="str">
            <v>Monika</v>
          </cell>
        </row>
        <row r="446">
          <cell r="A446" t="str">
            <v>Pavel</v>
          </cell>
        </row>
        <row r="447">
          <cell r="A447" t="str">
            <v>Rakosniček</v>
          </cell>
        </row>
        <row r="448">
          <cell r="A448" t="str">
            <v>Monika</v>
          </cell>
        </row>
        <row r="449">
          <cell r="A449" t="str">
            <v>Krakonoš</v>
          </cell>
        </row>
        <row r="450">
          <cell r="A450" t="str">
            <v>Rakosniček</v>
          </cell>
        </row>
        <row r="451">
          <cell r="A451" t="str">
            <v>Krakonoš</v>
          </cell>
        </row>
        <row r="452">
          <cell r="A452" t="str">
            <v>Pavel</v>
          </cell>
        </row>
        <row r="453">
          <cell r="A453" t="str">
            <v>Krakonoš</v>
          </cell>
        </row>
        <row r="454">
          <cell r="A454" t="str">
            <v>Krakonoš</v>
          </cell>
        </row>
        <row r="455">
          <cell r="A455" t="str">
            <v>Rakosniček</v>
          </cell>
        </row>
        <row r="456">
          <cell r="A456" t="str">
            <v>Krakonoš</v>
          </cell>
        </row>
        <row r="457">
          <cell r="A457" t="str">
            <v>Krakonoš</v>
          </cell>
        </row>
        <row r="458">
          <cell r="A458" t="str">
            <v>Pavel</v>
          </cell>
        </row>
        <row r="459">
          <cell r="A459" t="str">
            <v>Pavel</v>
          </cell>
        </row>
        <row r="460">
          <cell r="A460" t="str">
            <v>Pavel</v>
          </cell>
        </row>
        <row r="461">
          <cell r="A461" t="str">
            <v>Krakonoš</v>
          </cell>
        </row>
        <row r="462">
          <cell r="A462" t="str">
            <v>Rakosniček</v>
          </cell>
        </row>
        <row r="463">
          <cell r="A463" t="str">
            <v>Rakosniček</v>
          </cell>
        </row>
        <row r="464">
          <cell r="A464" t="str">
            <v>Krakonoš</v>
          </cell>
        </row>
        <row r="465">
          <cell r="A465" t="str">
            <v>Rakosniček</v>
          </cell>
        </row>
        <row r="466">
          <cell r="A466" t="str">
            <v>Fantomas</v>
          </cell>
        </row>
        <row r="467">
          <cell r="A467" t="str">
            <v>Rakosniček</v>
          </cell>
        </row>
        <row r="468">
          <cell r="A468" t="str">
            <v>Monika</v>
          </cell>
        </row>
        <row r="469">
          <cell r="A469" t="str">
            <v>Rakosniček</v>
          </cell>
        </row>
        <row r="470">
          <cell r="A470" t="str">
            <v>Fantomas</v>
          </cell>
        </row>
        <row r="471">
          <cell r="A471" t="str">
            <v>Krakonoš</v>
          </cell>
        </row>
        <row r="472">
          <cell r="A472" t="str">
            <v>Rakosniček</v>
          </cell>
        </row>
        <row r="473">
          <cell r="A473" t="str">
            <v>Monika</v>
          </cell>
        </row>
        <row r="474">
          <cell r="A474" t="str">
            <v>Krakonoš</v>
          </cell>
        </row>
        <row r="475">
          <cell r="A475" t="str">
            <v>Pavel</v>
          </cell>
        </row>
        <row r="476">
          <cell r="A476" t="str">
            <v>Krakonoš</v>
          </cell>
        </row>
        <row r="477">
          <cell r="A477" t="str">
            <v>Pavel</v>
          </cell>
        </row>
        <row r="478">
          <cell r="A478" t="str">
            <v>Krakonoš</v>
          </cell>
        </row>
        <row r="479">
          <cell r="A479" t="str">
            <v>Krakonoš</v>
          </cell>
        </row>
        <row r="480">
          <cell r="A480" t="str">
            <v>Fantomas</v>
          </cell>
        </row>
        <row r="481">
          <cell r="A481" t="str">
            <v>Rakosniček</v>
          </cell>
        </row>
        <row r="482">
          <cell r="A482" t="str">
            <v>Pavel</v>
          </cell>
        </row>
        <row r="483">
          <cell r="A483" t="str">
            <v>Monika</v>
          </cell>
        </row>
        <row r="484">
          <cell r="A484" t="str">
            <v>Krakonoš</v>
          </cell>
        </row>
        <row r="485">
          <cell r="A485" t="str">
            <v>Monika</v>
          </cell>
        </row>
        <row r="486">
          <cell r="A486" t="str">
            <v>Krakonoš</v>
          </cell>
        </row>
        <row r="487">
          <cell r="A487" t="str">
            <v>Fantomas</v>
          </cell>
        </row>
        <row r="488">
          <cell r="A488" t="str">
            <v>Pavel</v>
          </cell>
        </row>
        <row r="489">
          <cell r="A489" t="str">
            <v>Krakonoš</v>
          </cell>
        </row>
        <row r="490">
          <cell r="A490" t="str">
            <v>Krakonoš</v>
          </cell>
        </row>
        <row r="491">
          <cell r="A491" t="str">
            <v>Pavel</v>
          </cell>
        </row>
        <row r="492">
          <cell r="A492" t="str">
            <v>Krakonoš</v>
          </cell>
        </row>
        <row r="493">
          <cell r="A493" t="str">
            <v>Rakosniček</v>
          </cell>
        </row>
        <row r="494">
          <cell r="A494" t="str">
            <v>Fantomas</v>
          </cell>
        </row>
        <row r="495">
          <cell r="A495" t="str">
            <v>Krakonoš</v>
          </cell>
        </row>
        <row r="496">
          <cell r="A496" t="str">
            <v>Krakonoš</v>
          </cell>
        </row>
        <row r="497">
          <cell r="A497" t="str">
            <v>Fantomas</v>
          </cell>
        </row>
        <row r="498">
          <cell r="A498" t="str">
            <v>Fantomas</v>
          </cell>
        </row>
        <row r="499">
          <cell r="A499" t="str">
            <v>Monika</v>
          </cell>
        </row>
        <row r="500">
          <cell r="A500" t="str">
            <v>Fantomas</v>
          </cell>
        </row>
        <row r="501">
          <cell r="A501" t="str">
            <v>Fantomas</v>
          </cell>
        </row>
        <row r="502">
          <cell r="A502" t="str">
            <v>Pavel</v>
          </cell>
        </row>
        <row r="503">
          <cell r="A503" t="str">
            <v>Pavel</v>
          </cell>
        </row>
        <row r="504">
          <cell r="A504" t="str">
            <v>Monika</v>
          </cell>
        </row>
        <row r="505">
          <cell r="A505" t="str">
            <v>Fantomas</v>
          </cell>
        </row>
        <row r="506">
          <cell r="A506" t="str">
            <v>Krakonoš</v>
          </cell>
        </row>
        <row r="507">
          <cell r="A507" t="str">
            <v>Monika</v>
          </cell>
        </row>
        <row r="508">
          <cell r="A508" t="str">
            <v>Monika</v>
          </cell>
        </row>
        <row r="509">
          <cell r="A509" t="str">
            <v>Rakosniček</v>
          </cell>
        </row>
        <row r="510">
          <cell r="A510" t="str">
            <v>Fantomas</v>
          </cell>
        </row>
        <row r="511">
          <cell r="A511" t="str">
            <v>Fantomas</v>
          </cell>
        </row>
        <row r="512">
          <cell r="A512" t="str">
            <v>Fantomas</v>
          </cell>
        </row>
        <row r="513">
          <cell r="A513" t="str">
            <v>Krakonoš</v>
          </cell>
        </row>
        <row r="514">
          <cell r="A514" t="str">
            <v>Rakosniček</v>
          </cell>
        </row>
        <row r="515">
          <cell r="A515" t="str">
            <v>Rakosniček</v>
          </cell>
        </row>
        <row r="516">
          <cell r="A516" t="str">
            <v>Pavel</v>
          </cell>
        </row>
        <row r="517">
          <cell r="A517" t="str">
            <v>Pavel</v>
          </cell>
        </row>
        <row r="518">
          <cell r="A518" t="str">
            <v>Monika</v>
          </cell>
        </row>
        <row r="519">
          <cell r="A519" t="str">
            <v>Pavel</v>
          </cell>
        </row>
        <row r="520">
          <cell r="A520" t="str">
            <v>Monika</v>
          </cell>
        </row>
        <row r="521">
          <cell r="A521" t="str">
            <v>Fantomas</v>
          </cell>
        </row>
        <row r="522">
          <cell r="A522" t="str">
            <v>Monika</v>
          </cell>
        </row>
        <row r="523">
          <cell r="A523" t="str">
            <v>Krakonoš</v>
          </cell>
        </row>
        <row r="524">
          <cell r="A524" t="str">
            <v>Pavel</v>
          </cell>
        </row>
        <row r="525">
          <cell r="A525" t="str">
            <v>Monika</v>
          </cell>
        </row>
        <row r="526">
          <cell r="A526" t="str">
            <v>Krakonoš</v>
          </cell>
        </row>
        <row r="527">
          <cell r="A527" t="str">
            <v>Pavel</v>
          </cell>
        </row>
        <row r="528">
          <cell r="A528" t="str">
            <v>Krakonoš</v>
          </cell>
        </row>
        <row r="529">
          <cell r="A529" t="str">
            <v>Krakonoš</v>
          </cell>
        </row>
        <row r="530">
          <cell r="A530" t="str">
            <v>Fantomas</v>
          </cell>
        </row>
        <row r="531">
          <cell r="A531" t="str">
            <v>Monika</v>
          </cell>
        </row>
        <row r="532">
          <cell r="A532" t="str">
            <v>Rakosniček</v>
          </cell>
        </row>
        <row r="533">
          <cell r="A533" t="str">
            <v>Krakonoš</v>
          </cell>
        </row>
        <row r="534">
          <cell r="A534" t="str">
            <v>Pavel</v>
          </cell>
        </row>
        <row r="535">
          <cell r="A535" t="str">
            <v>Krakonoš</v>
          </cell>
        </row>
        <row r="536">
          <cell r="A536" t="str">
            <v>Krakonoš</v>
          </cell>
        </row>
        <row r="537">
          <cell r="A537" t="str">
            <v>Rakosniček</v>
          </cell>
        </row>
        <row r="538">
          <cell r="A538" t="str">
            <v>Rakosniček</v>
          </cell>
        </row>
        <row r="539">
          <cell r="A539" t="str">
            <v>Fantomas</v>
          </cell>
        </row>
        <row r="540">
          <cell r="A540" t="str">
            <v>Fantomas</v>
          </cell>
        </row>
        <row r="541">
          <cell r="A541" t="str">
            <v>Krakonoš</v>
          </cell>
        </row>
        <row r="542">
          <cell r="A542" t="str">
            <v>Fantomas</v>
          </cell>
        </row>
        <row r="543">
          <cell r="A543" t="str">
            <v>Rakosniček</v>
          </cell>
        </row>
        <row r="544">
          <cell r="A544" t="str">
            <v>Rakosniček</v>
          </cell>
        </row>
        <row r="545">
          <cell r="A545" t="str">
            <v>Rakosniček</v>
          </cell>
        </row>
        <row r="546">
          <cell r="A546" t="str">
            <v>Fantomas</v>
          </cell>
        </row>
        <row r="547">
          <cell r="A547" t="str">
            <v>Krakonoš</v>
          </cell>
        </row>
        <row r="548">
          <cell r="A548" t="str">
            <v>Krakonoš</v>
          </cell>
        </row>
        <row r="549">
          <cell r="A549" t="str">
            <v>Fantomas</v>
          </cell>
        </row>
        <row r="550">
          <cell r="A550" t="str">
            <v>Rakosniček</v>
          </cell>
        </row>
        <row r="551">
          <cell r="A551" t="str">
            <v>Fantomas</v>
          </cell>
        </row>
        <row r="552">
          <cell r="A552" t="str">
            <v>Pavel</v>
          </cell>
        </row>
        <row r="553">
          <cell r="A553" t="str">
            <v>Rakosniček</v>
          </cell>
        </row>
        <row r="554">
          <cell r="A554" t="str">
            <v>Fantomas</v>
          </cell>
        </row>
        <row r="555">
          <cell r="A555" t="str">
            <v>Monika</v>
          </cell>
        </row>
        <row r="556">
          <cell r="A556" t="str">
            <v>Rakosniček</v>
          </cell>
        </row>
        <row r="557">
          <cell r="A557" t="str">
            <v>Pavel</v>
          </cell>
        </row>
        <row r="558">
          <cell r="A558" t="str">
            <v>Krakonoš</v>
          </cell>
        </row>
        <row r="559">
          <cell r="A559" t="str">
            <v>Monika</v>
          </cell>
        </row>
        <row r="560">
          <cell r="A560" t="str">
            <v>Pavel</v>
          </cell>
        </row>
        <row r="561">
          <cell r="A561" t="str">
            <v>Rakosniček</v>
          </cell>
        </row>
        <row r="562">
          <cell r="A562" t="str">
            <v>Pavel</v>
          </cell>
        </row>
        <row r="563">
          <cell r="A563" t="str">
            <v>Rakosniček</v>
          </cell>
        </row>
        <row r="564">
          <cell r="A564" t="str">
            <v>Fantomas</v>
          </cell>
        </row>
        <row r="565">
          <cell r="A565" t="str">
            <v>Fantomas</v>
          </cell>
        </row>
        <row r="566">
          <cell r="A566" t="str">
            <v>Fantomas</v>
          </cell>
        </row>
        <row r="567">
          <cell r="A567" t="str">
            <v>Pavel</v>
          </cell>
        </row>
        <row r="568">
          <cell r="A568" t="str">
            <v>Krakonoš</v>
          </cell>
        </row>
        <row r="569">
          <cell r="A569" t="str">
            <v>Rakosniček</v>
          </cell>
        </row>
        <row r="570">
          <cell r="A570" t="str">
            <v>Monika</v>
          </cell>
        </row>
        <row r="571">
          <cell r="A571" t="str">
            <v>Rakosniček</v>
          </cell>
        </row>
        <row r="572">
          <cell r="A572" t="str">
            <v>Rakosniček</v>
          </cell>
        </row>
        <row r="573">
          <cell r="A573" t="str">
            <v>Krakonoš</v>
          </cell>
        </row>
        <row r="574">
          <cell r="A574" t="str">
            <v>Rakosniček</v>
          </cell>
        </row>
        <row r="575">
          <cell r="A575" t="str">
            <v>Krakonoš</v>
          </cell>
        </row>
        <row r="576">
          <cell r="A576" t="str">
            <v>Pavel</v>
          </cell>
        </row>
        <row r="577">
          <cell r="A577" t="str">
            <v>Pavel</v>
          </cell>
        </row>
        <row r="578">
          <cell r="A578" t="str">
            <v>Monika</v>
          </cell>
        </row>
        <row r="579">
          <cell r="A579" t="str">
            <v>Krakonoš</v>
          </cell>
        </row>
        <row r="580">
          <cell r="A580" t="str">
            <v>Fantomas</v>
          </cell>
        </row>
        <row r="581">
          <cell r="A581" t="str">
            <v>Monika</v>
          </cell>
        </row>
        <row r="582">
          <cell r="A582" t="str">
            <v>Rakosniček</v>
          </cell>
        </row>
        <row r="583">
          <cell r="A583" t="str">
            <v>Rakosniček</v>
          </cell>
        </row>
        <row r="584">
          <cell r="A584" t="str">
            <v>Rakosniček</v>
          </cell>
        </row>
        <row r="585">
          <cell r="A585" t="str">
            <v>Krakonoš</v>
          </cell>
        </row>
        <row r="586">
          <cell r="A586" t="str">
            <v>Monika</v>
          </cell>
        </row>
        <row r="587">
          <cell r="A587" t="str">
            <v>Monika</v>
          </cell>
        </row>
        <row r="588">
          <cell r="A588" t="str">
            <v>Monika</v>
          </cell>
        </row>
        <row r="589">
          <cell r="A589" t="str">
            <v>Fantomas</v>
          </cell>
        </row>
        <row r="590">
          <cell r="A590" t="str">
            <v>Monika</v>
          </cell>
        </row>
        <row r="591">
          <cell r="A591" t="str">
            <v>Monika</v>
          </cell>
        </row>
        <row r="592">
          <cell r="A592" t="str">
            <v>Krakonoš</v>
          </cell>
        </row>
        <row r="593">
          <cell r="A593" t="str">
            <v>Rakosniček</v>
          </cell>
        </row>
        <row r="594">
          <cell r="A594" t="str">
            <v>Fantomas</v>
          </cell>
        </row>
        <row r="595">
          <cell r="A595" t="str">
            <v>Monika</v>
          </cell>
        </row>
        <row r="596">
          <cell r="A596" t="str">
            <v>Pavel</v>
          </cell>
        </row>
        <row r="597">
          <cell r="A597" t="str">
            <v>Pavel</v>
          </cell>
        </row>
        <row r="598">
          <cell r="A598" t="str">
            <v>Rakosniček</v>
          </cell>
        </row>
        <row r="599">
          <cell r="A599" t="str">
            <v>Rakosniček</v>
          </cell>
        </row>
        <row r="600">
          <cell r="A600" t="str">
            <v>Rakosniček</v>
          </cell>
        </row>
        <row r="601">
          <cell r="A601" t="str">
            <v>Krakonoš</v>
          </cell>
        </row>
        <row r="602">
          <cell r="A602" t="str">
            <v>Rakosniček</v>
          </cell>
        </row>
        <row r="603">
          <cell r="A603" t="str">
            <v>Rakosniček</v>
          </cell>
        </row>
        <row r="604">
          <cell r="A604" t="str">
            <v>Pavel</v>
          </cell>
        </row>
        <row r="605">
          <cell r="A605" t="str">
            <v>Fantomas</v>
          </cell>
        </row>
        <row r="606">
          <cell r="A606" t="str">
            <v>Krakonoš</v>
          </cell>
        </row>
        <row r="607">
          <cell r="A607" t="str">
            <v>Pavel</v>
          </cell>
        </row>
        <row r="608">
          <cell r="A608" t="str">
            <v>Fantomas</v>
          </cell>
        </row>
        <row r="609">
          <cell r="A609" t="str">
            <v>Rakosniček</v>
          </cell>
        </row>
        <row r="610">
          <cell r="A610" t="str">
            <v>Fantomas</v>
          </cell>
        </row>
        <row r="611">
          <cell r="A611" t="str">
            <v>Fantomas</v>
          </cell>
        </row>
        <row r="612">
          <cell r="A612" t="str">
            <v>Monika</v>
          </cell>
        </row>
        <row r="613">
          <cell r="A613" t="str">
            <v>Rakosniček</v>
          </cell>
        </row>
        <row r="614">
          <cell r="A614" t="str">
            <v>Fantomas</v>
          </cell>
        </row>
        <row r="615">
          <cell r="A615" t="str">
            <v>Pavel</v>
          </cell>
        </row>
        <row r="616">
          <cell r="A616" t="str">
            <v>Pavel</v>
          </cell>
        </row>
        <row r="617">
          <cell r="A617" t="str">
            <v>Rakosniček</v>
          </cell>
        </row>
        <row r="618">
          <cell r="A618" t="str">
            <v>Pavel</v>
          </cell>
        </row>
        <row r="619">
          <cell r="A619" t="str">
            <v>Krakonoš</v>
          </cell>
        </row>
        <row r="620">
          <cell r="A620" t="str">
            <v>Krakonoš</v>
          </cell>
        </row>
        <row r="621">
          <cell r="A621" t="str">
            <v>Pavel</v>
          </cell>
        </row>
        <row r="622">
          <cell r="A622" t="str">
            <v>Rakosniček</v>
          </cell>
        </row>
        <row r="623">
          <cell r="A623" t="str">
            <v>Fantomas</v>
          </cell>
        </row>
        <row r="624">
          <cell r="A624" t="str">
            <v>Monika</v>
          </cell>
        </row>
        <row r="625">
          <cell r="A625" t="str">
            <v>Krakonoš</v>
          </cell>
        </row>
        <row r="626">
          <cell r="A626" t="str">
            <v>Krakonoš</v>
          </cell>
        </row>
        <row r="627">
          <cell r="A627" t="str">
            <v>Fantomas</v>
          </cell>
        </row>
        <row r="628">
          <cell r="A628" t="str">
            <v>Monika</v>
          </cell>
        </row>
        <row r="629">
          <cell r="A629" t="str">
            <v>Monika</v>
          </cell>
        </row>
        <row r="630">
          <cell r="A630" t="str">
            <v>Fantomas</v>
          </cell>
        </row>
        <row r="631">
          <cell r="A631" t="str">
            <v>Rakosniček</v>
          </cell>
        </row>
        <row r="632">
          <cell r="A632" t="str">
            <v>Monika</v>
          </cell>
        </row>
        <row r="633">
          <cell r="A633" t="str">
            <v>Fantomas</v>
          </cell>
        </row>
        <row r="634">
          <cell r="A634" t="str">
            <v>Fantomas</v>
          </cell>
        </row>
        <row r="635">
          <cell r="A635" t="str">
            <v>Monika</v>
          </cell>
        </row>
        <row r="636">
          <cell r="A636" t="str">
            <v>Monika</v>
          </cell>
        </row>
        <row r="637">
          <cell r="A637" t="str">
            <v>Monika</v>
          </cell>
        </row>
        <row r="638">
          <cell r="A638" t="str">
            <v>Fantomas</v>
          </cell>
        </row>
        <row r="639">
          <cell r="A639" t="str">
            <v>Fantomas</v>
          </cell>
        </row>
        <row r="640">
          <cell r="A640" t="str">
            <v>Monika</v>
          </cell>
        </row>
        <row r="641">
          <cell r="A641" t="str">
            <v>Pavel</v>
          </cell>
        </row>
        <row r="642">
          <cell r="A642" t="str">
            <v>Rakosniček</v>
          </cell>
        </row>
        <row r="643">
          <cell r="A643" t="str">
            <v>Rakosniček</v>
          </cell>
        </row>
        <row r="644">
          <cell r="A644" t="str">
            <v>Pavel</v>
          </cell>
        </row>
        <row r="645">
          <cell r="A645" t="str">
            <v>Fantomas</v>
          </cell>
        </row>
        <row r="646">
          <cell r="A646" t="str">
            <v>Krakonoš</v>
          </cell>
        </row>
        <row r="647">
          <cell r="A647" t="str">
            <v>Monika</v>
          </cell>
        </row>
        <row r="648">
          <cell r="A648" t="str">
            <v>Monika</v>
          </cell>
        </row>
        <row r="649">
          <cell r="A649" t="str">
            <v>Monika</v>
          </cell>
        </row>
        <row r="650">
          <cell r="A650" t="str">
            <v>Krakonoš</v>
          </cell>
        </row>
        <row r="651">
          <cell r="A651" t="str">
            <v>Rakosniček</v>
          </cell>
        </row>
        <row r="652">
          <cell r="A652" t="str">
            <v>Rakosniček</v>
          </cell>
        </row>
        <row r="653">
          <cell r="A653" t="str">
            <v>Fantomas</v>
          </cell>
        </row>
        <row r="654">
          <cell r="A654" t="str">
            <v>Krakonoš</v>
          </cell>
        </row>
        <row r="655">
          <cell r="A655" t="str">
            <v>Rakosniček</v>
          </cell>
        </row>
        <row r="656">
          <cell r="A656" t="str">
            <v>Monika</v>
          </cell>
        </row>
        <row r="657">
          <cell r="A657" t="str">
            <v>Krakonoš</v>
          </cell>
        </row>
        <row r="658">
          <cell r="A658" t="str">
            <v>Rakosniček</v>
          </cell>
        </row>
        <row r="659">
          <cell r="A659" t="str">
            <v>Fantomas</v>
          </cell>
        </row>
        <row r="660">
          <cell r="A660" t="str">
            <v>Krakonoš</v>
          </cell>
        </row>
        <row r="661">
          <cell r="A661" t="str">
            <v>Fantomas</v>
          </cell>
        </row>
        <row r="662">
          <cell r="A662" t="str">
            <v>Krakonoš</v>
          </cell>
        </row>
        <row r="663">
          <cell r="A663" t="str">
            <v>Monika</v>
          </cell>
        </row>
        <row r="664">
          <cell r="A664" t="str">
            <v>Rakosniček</v>
          </cell>
        </row>
        <row r="665">
          <cell r="A665" t="str">
            <v>Fantomas</v>
          </cell>
        </row>
        <row r="666">
          <cell r="A666" t="str">
            <v>Krakonoš</v>
          </cell>
        </row>
        <row r="667">
          <cell r="A667" t="str">
            <v>Monika</v>
          </cell>
        </row>
        <row r="668">
          <cell r="A668" t="str">
            <v>Rakosniček</v>
          </cell>
        </row>
        <row r="669">
          <cell r="A669" t="str">
            <v>Rakosniček</v>
          </cell>
        </row>
        <row r="670">
          <cell r="A670" t="str">
            <v>Rakosniček</v>
          </cell>
        </row>
        <row r="671">
          <cell r="A671" t="str">
            <v>Rakosniček</v>
          </cell>
        </row>
        <row r="672">
          <cell r="A672" t="str">
            <v>Fantomas</v>
          </cell>
        </row>
        <row r="673">
          <cell r="A673" t="str">
            <v>Rakosniček</v>
          </cell>
        </row>
        <row r="674">
          <cell r="A674" t="str">
            <v>Monika</v>
          </cell>
        </row>
        <row r="675">
          <cell r="A675" t="str">
            <v>Krakonoš</v>
          </cell>
        </row>
        <row r="676">
          <cell r="A676" t="str">
            <v>Krakonoš</v>
          </cell>
        </row>
        <row r="677">
          <cell r="A677" t="str">
            <v>Rakosniček</v>
          </cell>
        </row>
        <row r="678">
          <cell r="A678" t="str">
            <v>Krakonoš</v>
          </cell>
        </row>
        <row r="679">
          <cell r="A679" t="str">
            <v>Pavel</v>
          </cell>
        </row>
        <row r="680">
          <cell r="A680" t="str">
            <v>Krakonoš</v>
          </cell>
        </row>
        <row r="681">
          <cell r="A681" t="str">
            <v>Rakosniček</v>
          </cell>
        </row>
        <row r="682">
          <cell r="A682" t="str">
            <v>Rakosniček</v>
          </cell>
        </row>
        <row r="683">
          <cell r="A683" t="str">
            <v>Pavel</v>
          </cell>
        </row>
        <row r="684">
          <cell r="A684" t="str">
            <v>Rakosniček</v>
          </cell>
        </row>
        <row r="685">
          <cell r="A685" t="str">
            <v>Pavel</v>
          </cell>
        </row>
        <row r="686">
          <cell r="A686" t="str">
            <v>Pavel</v>
          </cell>
        </row>
        <row r="687">
          <cell r="A687" t="str">
            <v>Pavel</v>
          </cell>
        </row>
        <row r="688">
          <cell r="A688" t="str">
            <v>Rakosniček</v>
          </cell>
        </row>
        <row r="689">
          <cell r="A689" t="str">
            <v>Fantomas</v>
          </cell>
        </row>
        <row r="690">
          <cell r="A690" t="str">
            <v>Fantomas</v>
          </cell>
        </row>
        <row r="691">
          <cell r="A691" t="str">
            <v>Krakonoš</v>
          </cell>
        </row>
        <row r="692">
          <cell r="A692" t="str">
            <v>Krakonoš</v>
          </cell>
        </row>
        <row r="693">
          <cell r="A693" t="str">
            <v>Pavel</v>
          </cell>
        </row>
        <row r="694">
          <cell r="A694" t="str">
            <v>Krakonoš</v>
          </cell>
        </row>
        <row r="695">
          <cell r="A695" t="str">
            <v>Monika</v>
          </cell>
        </row>
        <row r="696">
          <cell r="A696" t="str">
            <v>Pavel</v>
          </cell>
        </row>
        <row r="697">
          <cell r="A697" t="str">
            <v>Pavel</v>
          </cell>
        </row>
        <row r="698">
          <cell r="A698" t="str">
            <v>Krakonoš</v>
          </cell>
        </row>
        <row r="699">
          <cell r="A699" t="str">
            <v>Monika</v>
          </cell>
        </row>
        <row r="700">
          <cell r="A700" t="str">
            <v>Rakosniček</v>
          </cell>
        </row>
        <row r="701">
          <cell r="A701" t="str">
            <v>Pavel</v>
          </cell>
        </row>
        <row r="702">
          <cell r="A702" t="str">
            <v>Krakonoš</v>
          </cell>
        </row>
        <row r="703">
          <cell r="A703" t="str">
            <v>Rakosniček</v>
          </cell>
        </row>
        <row r="704">
          <cell r="A704" t="str">
            <v>Fantomas</v>
          </cell>
        </row>
        <row r="705">
          <cell r="A705" t="str">
            <v>Krakonoš</v>
          </cell>
        </row>
        <row r="706">
          <cell r="A706" t="str">
            <v>Pavel</v>
          </cell>
        </row>
        <row r="707">
          <cell r="A707" t="str">
            <v>Krakonoš</v>
          </cell>
        </row>
        <row r="708">
          <cell r="A708" t="str">
            <v>Pavel</v>
          </cell>
        </row>
        <row r="709">
          <cell r="A709" t="str">
            <v>Fantomas</v>
          </cell>
        </row>
        <row r="710">
          <cell r="A710" t="str">
            <v>Pavel</v>
          </cell>
        </row>
        <row r="711">
          <cell r="A711" t="str">
            <v>Rakosniček</v>
          </cell>
        </row>
        <row r="712">
          <cell r="A712" t="str">
            <v>Rakosniček</v>
          </cell>
        </row>
        <row r="713">
          <cell r="A713" t="str">
            <v>Monika</v>
          </cell>
        </row>
        <row r="714">
          <cell r="A714" t="str">
            <v>Fantomas</v>
          </cell>
        </row>
        <row r="715">
          <cell r="A715" t="str">
            <v>Monika</v>
          </cell>
        </row>
        <row r="716">
          <cell r="A716" t="str">
            <v>Pavel</v>
          </cell>
        </row>
        <row r="717">
          <cell r="A717" t="str">
            <v>Krakonoš</v>
          </cell>
        </row>
        <row r="718">
          <cell r="A718" t="str">
            <v>Krakonoš</v>
          </cell>
        </row>
        <row r="719">
          <cell r="A719" t="str">
            <v>Rakosniček</v>
          </cell>
        </row>
        <row r="720">
          <cell r="A720" t="str">
            <v>Rakosniček</v>
          </cell>
        </row>
        <row r="721">
          <cell r="A721" t="str">
            <v>Monika</v>
          </cell>
        </row>
        <row r="722">
          <cell r="A722" t="str">
            <v>Pavel</v>
          </cell>
        </row>
        <row r="723">
          <cell r="A723" t="str">
            <v>Monika</v>
          </cell>
        </row>
        <row r="724">
          <cell r="A724" t="str">
            <v>Pavel</v>
          </cell>
        </row>
        <row r="725">
          <cell r="A725" t="str">
            <v>Fantomas</v>
          </cell>
        </row>
        <row r="726">
          <cell r="A726" t="str">
            <v>Rakosniček</v>
          </cell>
        </row>
        <row r="727">
          <cell r="A727" t="str">
            <v>Fantomas</v>
          </cell>
        </row>
        <row r="728">
          <cell r="A728" t="str">
            <v>Krakonoš</v>
          </cell>
        </row>
        <row r="729">
          <cell r="A729" t="str">
            <v>Rakosniček</v>
          </cell>
        </row>
        <row r="730">
          <cell r="A730" t="str">
            <v>Monika</v>
          </cell>
        </row>
        <row r="731">
          <cell r="A731" t="str">
            <v>Fantomas</v>
          </cell>
        </row>
        <row r="732">
          <cell r="A732" t="str">
            <v>Fantomas</v>
          </cell>
        </row>
        <row r="733">
          <cell r="A733" t="str">
            <v>Rakosniček</v>
          </cell>
        </row>
        <row r="734">
          <cell r="A734" t="str">
            <v>Monika</v>
          </cell>
        </row>
        <row r="735">
          <cell r="A735" t="str">
            <v>Fantomas</v>
          </cell>
        </row>
        <row r="736">
          <cell r="A736" t="str">
            <v>Rakosniček</v>
          </cell>
        </row>
        <row r="737">
          <cell r="A737" t="str">
            <v>Monika</v>
          </cell>
        </row>
        <row r="738">
          <cell r="A738" t="str">
            <v>Krakonoš</v>
          </cell>
        </row>
        <row r="739">
          <cell r="A739" t="str">
            <v>Fantomas</v>
          </cell>
        </row>
        <row r="740">
          <cell r="A740" t="str">
            <v>Fantomas</v>
          </cell>
        </row>
        <row r="741">
          <cell r="A741" t="str">
            <v>Pavel</v>
          </cell>
        </row>
        <row r="742">
          <cell r="A742" t="str">
            <v>Krakonoš</v>
          </cell>
        </row>
        <row r="743">
          <cell r="A743" t="str">
            <v>Pavel</v>
          </cell>
        </row>
        <row r="744">
          <cell r="A744" t="str">
            <v>Fantomas</v>
          </cell>
        </row>
        <row r="745">
          <cell r="A745" t="str">
            <v>Monika</v>
          </cell>
        </row>
        <row r="746">
          <cell r="A746" t="str">
            <v>Krakonoš</v>
          </cell>
        </row>
        <row r="747">
          <cell r="A747" t="str">
            <v>Rakosniček</v>
          </cell>
        </row>
        <row r="748">
          <cell r="A748" t="str">
            <v>Pavel</v>
          </cell>
        </row>
        <row r="749">
          <cell r="A749" t="str">
            <v>Monika</v>
          </cell>
        </row>
        <row r="750">
          <cell r="A750" t="str">
            <v>Krakonoš</v>
          </cell>
        </row>
        <row r="751">
          <cell r="A751" t="str">
            <v>Pavel</v>
          </cell>
        </row>
        <row r="752">
          <cell r="A752" t="str">
            <v>Pavel</v>
          </cell>
        </row>
        <row r="753">
          <cell r="A753" t="str">
            <v>Rakosniček</v>
          </cell>
        </row>
        <row r="754">
          <cell r="A754" t="str">
            <v>Krakonoš</v>
          </cell>
        </row>
        <row r="755">
          <cell r="A755" t="str">
            <v>Fantomas</v>
          </cell>
        </row>
        <row r="756">
          <cell r="A756" t="str">
            <v>Rakosniček</v>
          </cell>
        </row>
        <row r="757">
          <cell r="A757" t="str">
            <v>Rakosniček</v>
          </cell>
        </row>
        <row r="758">
          <cell r="A758" t="str">
            <v>Monika</v>
          </cell>
        </row>
        <row r="759">
          <cell r="A759" t="str">
            <v>Fantomas</v>
          </cell>
        </row>
        <row r="760">
          <cell r="A760" t="str">
            <v>Fantomas</v>
          </cell>
        </row>
        <row r="761">
          <cell r="A761" t="str">
            <v>Monika</v>
          </cell>
        </row>
        <row r="762">
          <cell r="A762" t="str">
            <v>Fantomas</v>
          </cell>
        </row>
        <row r="763">
          <cell r="A763" t="str">
            <v>Fantomas</v>
          </cell>
        </row>
        <row r="764">
          <cell r="A764" t="str">
            <v>Rakosniček</v>
          </cell>
        </row>
        <row r="765">
          <cell r="A765" t="str">
            <v>Fantomas</v>
          </cell>
        </row>
        <row r="766">
          <cell r="A766" t="str">
            <v>Krakonoš</v>
          </cell>
        </row>
        <row r="767">
          <cell r="A767" t="str">
            <v>Pavel</v>
          </cell>
        </row>
        <row r="768">
          <cell r="A768" t="str">
            <v>Fantomas</v>
          </cell>
        </row>
        <row r="769">
          <cell r="A769" t="str">
            <v>Rakosniček</v>
          </cell>
        </row>
        <row r="770">
          <cell r="A770" t="str">
            <v>Krakonoš</v>
          </cell>
        </row>
        <row r="771">
          <cell r="A771" t="str">
            <v>Rakosniček</v>
          </cell>
        </row>
        <row r="772">
          <cell r="A772" t="str">
            <v>Rakosniček</v>
          </cell>
        </row>
        <row r="773">
          <cell r="A773" t="str">
            <v>Fantomas</v>
          </cell>
        </row>
        <row r="774">
          <cell r="A774" t="str">
            <v>Pavel</v>
          </cell>
        </row>
        <row r="775">
          <cell r="A775" t="str">
            <v>Rakosniček</v>
          </cell>
        </row>
        <row r="776">
          <cell r="A776" t="str">
            <v>Krakonoš</v>
          </cell>
        </row>
        <row r="777">
          <cell r="A777" t="str">
            <v>Krakonoš</v>
          </cell>
        </row>
        <row r="778">
          <cell r="A778" t="str">
            <v>Krakonoš</v>
          </cell>
        </row>
        <row r="779">
          <cell r="A779" t="str">
            <v>Fantomas</v>
          </cell>
        </row>
        <row r="780">
          <cell r="A780" t="str">
            <v>Fantomas</v>
          </cell>
        </row>
        <row r="781">
          <cell r="A781" t="str">
            <v>Fantomas</v>
          </cell>
        </row>
        <row r="782">
          <cell r="A782" t="str">
            <v>Fantomas</v>
          </cell>
        </row>
        <row r="783">
          <cell r="A783" t="str">
            <v>Fantomas</v>
          </cell>
        </row>
        <row r="784">
          <cell r="A784" t="str">
            <v>Pavel</v>
          </cell>
        </row>
        <row r="785">
          <cell r="A785" t="str">
            <v>Fantomas</v>
          </cell>
        </row>
        <row r="786">
          <cell r="A786" t="str">
            <v>Krakonoš</v>
          </cell>
        </row>
        <row r="787">
          <cell r="A787" t="str">
            <v>Krakonoš</v>
          </cell>
        </row>
        <row r="788">
          <cell r="A788" t="str">
            <v>Monika</v>
          </cell>
        </row>
        <row r="789">
          <cell r="A789" t="str">
            <v>Krakonoš</v>
          </cell>
        </row>
        <row r="790">
          <cell r="A790" t="str">
            <v>Monika</v>
          </cell>
        </row>
        <row r="791">
          <cell r="A791" t="str">
            <v>Krakonoš</v>
          </cell>
        </row>
        <row r="792">
          <cell r="A792" t="str">
            <v>Pavel</v>
          </cell>
        </row>
        <row r="793">
          <cell r="A793" t="str">
            <v>Rakosniček</v>
          </cell>
        </row>
        <row r="794">
          <cell r="A794" t="str">
            <v>Fantomas</v>
          </cell>
        </row>
        <row r="795">
          <cell r="A795" t="str">
            <v>Rakosniček</v>
          </cell>
        </row>
        <row r="796">
          <cell r="A796" t="str">
            <v>Pavel</v>
          </cell>
        </row>
        <row r="797">
          <cell r="A797" t="str">
            <v>Monika</v>
          </cell>
        </row>
        <row r="798">
          <cell r="A798" t="str">
            <v>Monika</v>
          </cell>
        </row>
        <row r="799">
          <cell r="A799" t="str">
            <v>Pavel</v>
          </cell>
        </row>
        <row r="800">
          <cell r="A800" t="str">
            <v>Fantomas</v>
          </cell>
        </row>
        <row r="801">
          <cell r="A801" t="str">
            <v>Krakonoš</v>
          </cell>
        </row>
        <row r="802">
          <cell r="A802" t="str">
            <v>Monika</v>
          </cell>
        </row>
        <row r="803">
          <cell r="A803" t="str">
            <v>Rakosniček</v>
          </cell>
        </row>
        <row r="804">
          <cell r="A804" t="str">
            <v>Monika</v>
          </cell>
        </row>
        <row r="805">
          <cell r="A805" t="str">
            <v>Rakosniček</v>
          </cell>
        </row>
        <row r="806">
          <cell r="A806" t="str">
            <v>Pavel</v>
          </cell>
        </row>
        <row r="807">
          <cell r="A807" t="str">
            <v>Pavel</v>
          </cell>
        </row>
        <row r="808">
          <cell r="A808" t="str">
            <v>Fantomas</v>
          </cell>
        </row>
        <row r="809">
          <cell r="A809" t="str">
            <v>Pavel</v>
          </cell>
        </row>
        <row r="810">
          <cell r="A810" t="str">
            <v>Pavel</v>
          </cell>
        </row>
        <row r="811">
          <cell r="A811" t="str">
            <v>Rakosniček</v>
          </cell>
        </row>
        <row r="812">
          <cell r="A812" t="str">
            <v>Fantomas</v>
          </cell>
        </row>
        <row r="813">
          <cell r="A813" t="str">
            <v>Pavel</v>
          </cell>
        </row>
        <row r="814">
          <cell r="A814" t="str">
            <v>Rakosniček</v>
          </cell>
        </row>
        <row r="815">
          <cell r="A815" t="str">
            <v>Pavel</v>
          </cell>
        </row>
        <row r="816">
          <cell r="A816" t="str">
            <v>Krakonoš</v>
          </cell>
        </row>
        <row r="817">
          <cell r="A817" t="str">
            <v>Monika</v>
          </cell>
        </row>
        <row r="818">
          <cell r="A818" t="str">
            <v>Pavel</v>
          </cell>
        </row>
        <row r="819">
          <cell r="A819" t="str">
            <v>Fantomas</v>
          </cell>
        </row>
        <row r="820">
          <cell r="A820" t="str">
            <v>Krakonoš</v>
          </cell>
        </row>
        <row r="821">
          <cell r="A821" t="str">
            <v>Pavel</v>
          </cell>
        </row>
        <row r="822">
          <cell r="A822" t="str">
            <v>Rakosniček</v>
          </cell>
        </row>
        <row r="823">
          <cell r="A823" t="str">
            <v>Pavel</v>
          </cell>
        </row>
        <row r="824">
          <cell r="A824" t="str">
            <v>Pavel</v>
          </cell>
        </row>
        <row r="825">
          <cell r="A825" t="str">
            <v>Pavel</v>
          </cell>
        </row>
        <row r="826">
          <cell r="A826" t="str">
            <v>Monika</v>
          </cell>
        </row>
        <row r="827">
          <cell r="A827" t="str">
            <v>Fantomas</v>
          </cell>
        </row>
        <row r="828">
          <cell r="A828" t="str">
            <v>Fantomas</v>
          </cell>
        </row>
        <row r="829">
          <cell r="A829" t="str">
            <v>Pavel</v>
          </cell>
        </row>
        <row r="830">
          <cell r="A830" t="str">
            <v>Pavel</v>
          </cell>
        </row>
        <row r="831">
          <cell r="A831" t="str">
            <v>Monika</v>
          </cell>
        </row>
        <row r="832">
          <cell r="A832" t="str">
            <v>Rakosniček</v>
          </cell>
        </row>
        <row r="833">
          <cell r="A833" t="str">
            <v>Krakonoš</v>
          </cell>
        </row>
        <row r="834">
          <cell r="A834" t="str">
            <v>Krakonoš</v>
          </cell>
        </row>
        <row r="835">
          <cell r="A835" t="str">
            <v>Monika</v>
          </cell>
        </row>
        <row r="836">
          <cell r="A836" t="str">
            <v>Krakonoš</v>
          </cell>
        </row>
        <row r="837">
          <cell r="A837" t="str">
            <v>Pavel</v>
          </cell>
        </row>
        <row r="838">
          <cell r="A838" t="str">
            <v>Pavel</v>
          </cell>
        </row>
        <row r="839">
          <cell r="A839" t="str">
            <v>Rakosniček</v>
          </cell>
        </row>
        <row r="840">
          <cell r="A840" t="str">
            <v>Krakonoš</v>
          </cell>
        </row>
        <row r="841">
          <cell r="A841" t="str">
            <v>Pavel</v>
          </cell>
        </row>
        <row r="842">
          <cell r="A842" t="str">
            <v>Krakonoš</v>
          </cell>
        </row>
        <row r="843">
          <cell r="A843" t="str">
            <v>Pavel</v>
          </cell>
        </row>
        <row r="844">
          <cell r="A844" t="str">
            <v>Pavel</v>
          </cell>
        </row>
        <row r="845">
          <cell r="A845" t="str">
            <v>Rakosniček</v>
          </cell>
        </row>
        <row r="846">
          <cell r="A846" t="str">
            <v>Krakonoš</v>
          </cell>
        </row>
        <row r="847">
          <cell r="A847" t="str">
            <v>Fantomas</v>
          </cell>
        </row>
        <row r="848">
          <cell r="A848" t="str">
            <v>Fantomas</v>
          </cell>
        </row>
        <row r="849">
          <cell r="A849" t="str">
            <v>Fantomas</v>
          </cell>
        </row>
        <row r="850">
          <cell r="A850" t="str">
            <v>Rakosniček</v>
          </cell>
        </row>
        <row r="851">
          <cell r="A851" t="str">
            <v>Krakonoš</v>
          </cell>
        </row>
        <row r="852">
          <cell r="A852" t="str">
            <v>Rakosniček</v>
          </cell>
        </row>
        <row r="853">
          <cell r="A853" t="str">
            <v>Monika</v>
          </cell>
        </row>
        <row r="854">
          <cell r="A854" t="str">
            <v>Rakosniček</v>
          </cell>
        </row>
        <row r="855">
          <cell r="A855" t="str">
            <v>Krakonoš</v>
          </cell>
        </row>
        <row r="856">
          <cell r="A856" t="str">
            <v>Pavel</v>
          </cell>
        </row>
        <row r="857">
          <cell r="A857" t="str">
            <v>Monika</v>
          </cell>
        </row>
        <row r="858">
          <cell r="A858" t="str">
            <v>Krakonoš</v>
          </cell>
        </row>
        <row r="859">
          <cell r="A859" t="str">
            <v>Monika</v>
          </cell>
        </row>
        <row r="860">
          <cell r="A860" t="str">
            <v>Fantomas</v>
          </cell>
        </row>
        <row r="861">
          <cell r="A861" t="str">
            <v>Fantomas</v>
          </cell>
        </row>
        <row r="862">
          <cell r="A862" t="str">
            <v>Rakosniček</v>
          </cell>
        </row>
        <row r="863">
          <cell r="A863" t="str">
            <v>Krakonoš</v>
          </cell>
        </row>
        <row r="864">
          <cell r="A864" t="str">
            <v>Rakosniček</v>
          </cell>
        </row>
        <row r="865">
          <cell r="A865" t="str">
            <v>Rakosniček</v>
          </cell>
        </row>
        <row r="866">
          <cell r="A866" t="str">
            <v>Monika</v>
          </cell>
        </row>
        <row r="867">
          <cell r="A867" t="str">
            <v>Pavel</v>
          </cell>
        </row>
        <row r="868">
          <cell r="A868" t="str">
            <v>Rakosniček</v>
          </cell>
        </row>
        <row r="869">
          <cell r="A869" t="str">
            <v>Krakonoš</v>
          </cell>
        </row>
        <row r="870">
          <cell r="A870" t="str">
            <v>Rakosniček</v>
          </cell>
        </row>
        <row r="871">
          <cell r="A871" t="str">
            <v>Rakosniček</v>
          </cell>
        </row>
        <row r="872">
          <cell r="A872" t="str">
            <v>Krakonoš</v>
          </cell>
        </row>
        <row r="873">
          <cell r="A873" t="str">
            <v>Monika</v>
          </cell>
        </row>
        <row r="874">
          <cell r="A874" t="str">
            <v>Pavel</v>
          </cell>
        </row>
        <row r="875">
          <cell r="A875" t="str">
            <v>Fantomas</v>
          </cell>
        </row>
        <row r="876">
          <cell r="A876" t="str">
            <v>Monika</v>
          </cell>
        </row>
        <row r="877">
          <cell r="A877" t="str">
            <v>Krakonoš</v>
          </cell>
        </row>
        <row r="878">
          <cell r="A878" t="str">
            <v>Fantomas</v>
          </cell>
        </row>
        <row r="879">
          <cell r="A879" t="str">
            <v>Rakosniček</v>
          </cell>
        </row>
        <row r="880">
          <cell r="A880" t="str">
            <v>Monika</v>
          </cell>
        </row>
        <row r="881">
          <cell r="A881" t="str">
            <v>Rakosniček</v>
          </cell>
        </row>
        <row r="882">
          <cell r="A882" t="str">
            <v>Pavel</v>
          </cell>
        </row>
        <row r="883">
          <cell r="A883" t="str">
            <v>Monika</v>
          </cell>
        </row>
        <row r="884">
          <cell r="A884" t="str">
            <v>Fantomas</v>
          </cell>
        </row>
        <row r="885">
          <cell r="A885" t="str">
            <v>Rakosniček</v>
          </cell>
        </row>
        <row r="886">
          <cell r="A886" t="str">
            <v>Krakonoš</v>
          </cell>
        </row>
        <row r="887">
          <cell r="A887" t="str">
            <v>Pavel</v>
          </cell>
        </row>
        <row r="888">
          <cell r="A888" t="str">
            <v>Rakosniček</v>
          </cell>
        </row>
        <row r="889">
          <cell r="A889" t="str">
            <v>Rakosniček</v>
          </cell>
        </row>
        <row r="890">
          <cell r="A890" t="str">
            <v>Krakonoš</v>
          </cell>
        </row>
        <row r="891">
          <cell r="A891" t="str">
            <v>Rakosniček</v>
          </cell>
        </row>
        <row r="892">
          <cell r="A892" t="str">
            <v>Monika</v>
          </cell>
        </row>
        <row r="893">
          <cell r="A893" t="str">
            <v>Pavel</v>
          </cell>
        </row>
        <row r="894">
          <cell r="A894" t="str">
            <v>Fantomas</v>
          </cell>
        </row>
        <row r="895">
          <cell r="A895" t="str">
            <v>Krakonoš</v>
          </cell>
        </row>
        <row r="896">
          <cell r="A896" t="str">
            <v>Fantomas</v>
          </cell>
        </row>
        <row r="897">
          <cell r="A897" t="str">
            <v>Fantomas</v>
          </cell>
        </row>
        <row r="898">
          <cell r="A898" t="str">
            <v>Krakonoš</v>
          </cell>
        </row>
        <row r="899">
          <cell r="A899" t="str">
            <v>Monika</v>
          </cell>
        </row>
        <row r="900">
          <cell r="A900" t="str">
            <v>Monika</v>
          </cell>
        </row>
        <row r="901">
          <cell r="A901" t="str">
            <v>Rakosniček</v>
          </cell>
        </row>
        <row r="902">
          <cell r="A902" t="str">
            <v>Pavel</v>
          </cell>
        </row>
        <row r="903">
          <cell r="A903" t="str">
            <v>Monika</v>
          </cell>
        </row>
        <row r="904">
          <cell r="A904" t="str">
            <v>Fantomas</v>
          </cell>
        </row>
        <row r="905">
          <cell r="A905" t="str">
            <v>Krakonoš</v>
          </cell>
        </row>
        <row r="906">
          <cell r="A906" t="str">
            <v>Krakonoš</v>
          </cell>
        </row>
        <row r="907">
          <cell r="A907" t="str">
            <v>Krakonoš</v>
          </cell>
        </row>
        <row r="908">
          <cell r="A908" t="str">
            <v>Fantomas</v>
          </cell>
        </row>
        <row r="909">
          <cell r="A909" t="str">
            <v>Monika</v>
          </cell>
        </row>
        <row r="910">
          <cell r="A910" t="str">
            <v>Krakonoš</v>
          </cell>
        </row>
        <row r="911">
          <cell r="A911" t="str">
            <v>Pavel</v>
          </cell>
        </row>
        <row r="912">
          <cell r="A912" t="str">
            <v>Fantomas</v>
          </cell>
        </row>
        <row r="913">
          <cell r="A913" t="str">
            <v>Monika</v>
          </cell>
        </row>
        <row r="914">
          <cell r="A914" t="str">
            <v>Rakosniček</v>
          </cell>
        </row>
        <row r="915">
          <cell r="A915" t="str">
            <v>Krakonoš</v>
          </cell>
        </row>
        <row r="916">
          <cell r="A916" t="str">
            <v>Rakosniček</v>
          </cell>
        </row>
        <row r="917">
          <cell r="A917" t="str">
            <v>Monika</v>
          </cell>
        </row>
        <row r="918">
          <cell r="A918" t="str">
            <v>Rakosniček</v>
          </cell>
        </row>
        <row r="919">
          <cell r="A919" t="str">
            <v>Monika</v>
          </cell>
        </row>
        <row r="920">
          <cell r="A920" t="str">
            <v>Krakonoš</v>
          </cell>
        </row>
        <row r="921">
          <cell r="A921" t="str">
            <v>Pavel</v>
          </cell>
        </row>
        <row r="922">
          <cell r="A922" t="str">
            <v>Pavel</v>
          </cell>
        </row>
        <row r="923">
          <cell r="A923" t="str">
            <v>Pavel</v>
          </cell>
        </row>
        <row r="924">
          <cell r="A924" t="str">
            <v>Rakosniček</v>
          </cell>
        </row>
        <row r="925">
          <cell r="A925" t="str">
            <v>Krakonoš</v>
          </cell>
        </row>
        <row r="926">
          <cell r="A926" t="str">
            <v>Fantomas</v>
          </cell>
        </row>
        <row r="927">
          <cell r="A927" t="str">
            <v>Krakonoš</v>
          </cell>
        </row>
        <row r="928">
          <cell r="A928" t="str">
            <v>Fantomas</v>
          </cell>
        </row>
        <row r="929">
          <cell r="A929" t="str">
            <v>Rakosniček</v>
          </cell>
        </row>
        <row r="930">
          <cell r="A930" t="str">
            <v>Krakonoš</v>
          </cell>
        </row>
        <row r="931">
          <cell r="A931" t="str">
            <v>Monika</v>
          </cell>
        </row>
        <row r="932">
          <cell r="A932" t="str">
            <v>Fantomas</v>
          </cell>
        </row>
        <row r="933">
          <cell r="A933" t="str">
            <v>Fantomas</v>
          </cell>
        </row>
        <row r="934">
          <cell r="A934" t="str">
            <v>Rakosniček</v>
          </cell>
        </row>
        <row r="935">
          <cell r="A935" t="str">
            <v>Krakonoš</v>
          </cell>
        </row>
        <row r="936">
          <cell r="A936" t="str">
            <v>Monika</v>
          </cell>
        </row>
        <row r="937">
          <cell r="A937" t="str">
            <v>Krakonoš</v>
          </cell>
        </row>
        <row r="938">
          <cell r="A938" t="str">
            <v>Monika</v>
          </cell>
        </row>
        <row r="939">
          <cell r="A939" t="str">
            <v>Krakonoš</v>
          </cell>
        </row>
        <row r="940">
          <cell r="A940" t="str">
            <v>Krakonoš</v>
          </cell>
        </row>
        <row r="941">
          <cell r="A941" t="str">
            <v>Monika</v>
          </cell>
        </row>
        <row r="942">
          <cell r="A942" t="str">
            <v>Krakonoš</v>
          </cell>
        </row>
        <row r="943">
          <cell r="A943" t="str">
            <v>Monika</v>
          </cell>
        </row>
        <row r="944">
          <cell r="A944" t="str">
            <v>Monika</v>
          </cell>
        </row>
        <row r="945">
          <cell r="A945" t="str">
            <v>Krakonoš</v>
          </cell>
        </row>
        <row r="946">
          <cell r="A946" t="str">
            <v>Fantomas</v>
          </cell>
        </row>
        <row r="947">
          <cell r="A947" t="str">
            <v>Monika</v>
          </cell>
        </row>
        <row r="948">
          <cell r="A948" t="str">
            <v>Krakonoš</v>
          </cell>
        </row>
        <row r="949">
          <cell r="A949" t="str">
            <v>Rakosniček</v>
          </cell>
        </row>
        <row r="950">
          <cell r="A950" t="str">
            <v>Krakonoš</v>
          </cell>
        </row>
        <row r="951">
          <cell r="A951" t="str">
            <v>Rakosniček</v>
          </cell>
        </row>
        <row r="952">
          <cell r="A952" t="str">
            <v>Monika</v>
          </cell>
        </row>
        <row r="953">
          <cell r="A953" t="str">
            <v>Fantomas</v>
          </cell>
        </row>
        <row r="954">
          <cell r="A954" t="str">
            <v>Pavel</v>
          </cell>
        </row>
        <row r="955">
          <cell r="A955" t="str">
            <v>Krakonoš</v>
          </cell>
        </row>
        <row r="956">
          <cell r="A956" t="str">
            <v>Rakosniček</v>
          </cell>
        </row>
        <row r="957">
          <cell r="A957" t="str">
            <v>Krakonoš</v>
          </cell>
        </row>
        <row r="958">
          <cell r="A958" t="str">
            <v>Monika</v>
          </cell>
        </row>
        <row r="959">
          <cell r="A959" t="str">
            <v>Monika</v>
          </cell>
        </row>
        <row r="960">
          <cell r="A960" t="str">
            <v>Pavel</v>
          </cell>
        </row>
        <row r="961">
          <cell r="A961" t="str">
            <v>Fantomas</v>
          </cell>
        </row>
        <row r="962">
          <cell r="A962" t="str">
            <v>Krakonoš</v>
          </cell>
        </row>
        <row r="963">
          <cell r="A963" t="str">
            <v>Rakosniček</v>
          </cell>
        </row>
        <row r="964">
          <cell r="A964" t="str">
            <v>Monika</v>
          </cell>
        </row>
        <row r="965">
          <cell r="A965" t="str">
            <v>Monika</v>
          </cell>
        </row>
        <row r="966">
          <cell r="A966" t="str">
            <v>Monika</v>
          </cell>
        </row>
        <row r="967">
          <cell r="A967" t="str">
            <v>Monika</v>
          </cell>
        </row>
        <row r="968">
          <cell r="A968" t="str">
            <v>Pavel</v>
          </cell>
        </row>
        <row r="969">
          <cell r="A969" t="str">
            <v>Krakonoš</v>
          </cell>
        </row>
        <row r="970">
          <cell r="A970" t="str">
            <v>Monika</v>
          </cell>
        </row>
        <row r="971">
          <cell r="A971" t="str">
            <v>Fantomas</v>
          </cell>
        </row>
        <row r="972">
          <cell r="A972" t="str">
            <v>Fantomas</v>
          </cell>
        </row>
        <row r="973">
          <cell r="A973" t="str">
            <v>Rakosniček</v>
          </cell>
        </row>
        <row r="974">
          <cell r="A974" t="str">
            <v>Fantomas</v>
          </cell>
        </row>
        <row r="975">
          <cell r="A975" t="str">
            <v>Fantomas</v>
          </cell>
        </row>
        <row r="976">
          <cell r="A976" t="str">
            <v>Monika</v>
          </cell>
        </row>
        <row r="977">
          <cell r="A977" t="str">
            <v>Rakosniček</v>
          </cell>
        </row>
        <row r="978">
          <cell r="A978" t="str">
            <v>Rakosniček</v>
          </cell>
        </row>
        <row r="979">
          <cell r="A979" t="str">
            <v>Fantomas</v>
          </cell>
        </row>
        <row r="980">
          <cell r="A980" t="str">
            <v>Monika</v>
          </cell>
        </row>
        <row r="981">
          <cell r="A981" t="str">
            <v>Rakosniček</v>
          </cell>
        </row>
        <row r="982">
          <cell r="A982" t="str">
            <v>Fantomas</v>
          </cell>
        </row>
        <row r="983">
          <cell r="A983" t="str">
            <v>Fantomas</v>
          </cell>
        </row>
        <row r="984">
          <cell r="A984" t="str">
            <v>Rakosniček</v>
          </cell>
        </row>
        <row r="985">
          <cell r="A985" t="str">
            <v>Krakonoš</v>
          </cell>
        </row>
        <row r="986">
          <cell r="A986" t="str">
            <v>Rakosniček</v>
          </cell>
        </row>
        <row r="987">
          <cell r="A987" t="str">
            <v>Krakonoš</v>
          </cell>
        </row>
        <row r="988">
          <cell r="A988" t="str">
            <v>Fantomas</v>
          </cell>
        </row>
        <row r="989">
          <cell r="A989" t="str">
            <v>Pavel</v>
          </cell>
        </row>
        <row r="990">
          <cell r="A990" t="str">
            <v>Rakosniček</v>
          </cell>
        </row>
        <row r="991">
          <cell r="A991" t="str">
            <v>Rakosniček</v>
          </cell>
        </row>
        <row r="992">
          <cell r="A992" t="str">
            <v>Rakosniček</v>
          </cell>
        </row>
        <row r="993">
          <cell r="A993" t="str">
            <v>Krakonoš</v>
          </cell>
        </row>
        <row r="994">
          <cell r="A994" t="str">
            <v>Rakosniček</v>
          </cell>
        </row>
        <row r="995">
          <cell r="A995" t="str">
            <v>Rakosniček</v>
          </cell>
        </row>
        <row r="996">
          <cell r="A996" t="str">
            <v>Krakonoš</v>
          </cell>
        </row>
        <row r="997">
          <cell r="A997" t="str">
            <v>Monika</v>
          </cell>
        </row>
        <row r="998">
          <cell r="A998" t="str">
            <v>Rakosniček</v>
          </cell>
        </row>
        <row r="999">
          <cell r="A999" t="str">
            <v>Monika</v>
          </cell>
        </row>
        <row r="1000">
          <cell r="A1000" t="str">
            <v>Fantomas</v>
          </cell>
        </row>
        <row r="1001">
          <cell r="A1001" t="str">
            <v>Krakonoš</v>
          </cell>
        </row>
        <row r="1002">
          <cell r="A1002" t="str">
            <v>Rakosniček</v>
          </cell>
        </row>
        <row r="1003">
          <cell r="A1003" t="str">
            <v>Fantomas</v>
          </cell>
        </row>
        <row r="1004">
          <cell r="A1004" t="str">
            <v>Pavel</v>
          </cell>
        </row>
        <row r="1005">
          <cell r="A1005" t="str">
            <v>Monika</v>
          </cell>
        </row>
        <row r="1006">
          <cell r="A1006" t="str">
            <v>Monika</v>
          </cell>
        </row>
        <row r="1007">
          <cell r="A1007" t="str">
            <v>Monika</v>
          </cell>
        </row>
        <row r="1008">
          <cell r="A1008" t="str">
            <v>Krakonoš</v>
          </cell>
        </row>
        <row r="1009">
          <cell r="A1009" t="str">
            <v>Rakosniček</v>
          </cell>
        </row>
        <row r="1010">
          <cell r="A1010" t="str">
            <v>Krakonoš</v>
          </cell>
        </row>
        <row r="1011">
          <cell r="A1011" t="str">
            <v>Pavel</v>
          </cell>
        </row>
        <row r="1012">
          <cell r="A1012" t="str">
            <v>Rakosniček</v>
          </cell>
        </row>
        <row r="1013">
          <cell r="A1013" t="str">
            <v>Pavel</v>
          </cell>
        </row>
        <row r="1014">
          <cell r="A1014" t="str">
            <v>Fantomas</v>
          </cell>
        </row>
        <row r="1015">
          <cell r="A1015" t="str">
            <v>Pavel</v>
          </cell>
        </row>
        <row r="1016">
          <cell r="A1016" t="str">
            <v>Monika</v>
          </cell>
        </row>
        <row r="1017">
          <cell r="A1017" t="str">
            <v>Monika</v>
          </cell>
        </row>
        <row r="1018">
          <cell r="A1018" t="str">
            <v>Krakonoš</v>
          </cell>
        </row>
        <row r="1019">
          <cell r="A1019" t="str">
            <v>Fantomas</v>
          </cell>
        </row>
        <row r="1020">
          <cell r="A1020" t="str">
            <v>Monika</v>
          </cell>
        </row>
        <row r="1021">
          <cell r="A1021" t="str">
            <v>Pavel</v>
          </cell>
        </row>
        <row r="1022">
          <cell r="A1022" t="str">
            <v>Krakonoš</v>
          </cell>
        </row>
        <row r="1023">
          <cell r="A1023" t="str">
            <v>Fantomas</v>
          </cell>
        </row>
        <row r="1024">
          <cell r="A1024" t="str">
            <v>Monika</v>
          </cell>
        </row>
        <row r="1025">
          <cell r="A1025" t="str">
            <v>Pavel</v>
          </cell>
        </row>
        <row r="1026">
          <cell r="A1026" t="str">
            <v>Monika</v>
          </cell>
        </row>
        <row r="1027">
          <cell r="A1027" t="str">
            <v>Krakonoš</v>
          </cell>
        </row>
        <row r="1028">
          <cell r="A1028" t="str">
            <v>Rakosniček</v>
          </cell>
        </row>
        <row r="1029">
          <cell r="A1029" t="str">
            <v>Pavel</v>
          </cell>
        </row>
        <row r="1030">
          <cell r="A1030" t="str">
            <v>Rakosniček</v>
          </cell>
        </row>
        <row r="1031">
          <cell r="A1031" t="str">
            <v>Pavel</v>
          </cell>
        </row>
        <row r="1032">
          <cell r="A1032" t="str">
            <v>Rakosniček</v>
          </cell>
        </row>
        <row r="1033">
          <cell r="A1033" t="str">
            <v>Fantomas</v>
          </cell>
        </row>
        <row r="1034">
          <cell r="A1034" t="str">
            <v>Pavel</v>
          </cell>
        </row>
        <row r="1035">
          <cell r="A1035" t="str">
            <v>Rakosniček</v>
          </cell>
        </row>
        <row r="1036">
          <cell r="A1036" t="str">
            <v>Krakonoš</v>
          </cell>
        </row>
        <row r="1037">
          <cell r="A1037" t="str">
            <v>Krakonoš</v>
          </cell>
        </row>
        <row r="1038">
          <cell r="A1038" t="str">
            <v>Rakosniček</v>
          </cell>
        </row>
        <row r="1039">
          <cell r="A1039" t="str">
            <v>Fantomas</v>
          </cell>
        </row>
        <row r="1040">
          <cell r="A1040" t="str">
            <v>Pavel</v>
          </cell>
        </row>
        <row r="1041">
          <cell r="A1041" t="str">
            <v>Pavel</v>
          </cell>
        </row>
        <row r="1042">
          <cell r="A1042" t="str">
            <v>Rakosniček</v>
          </cell>
        </row>
        <row r="1043">
          <cell r="A1043" t="str">
            <v>Monika</v>
          </cell>
        </row>
        <row r="1044">
          <cell r="A1044" t="str">
            <v>Fantomas</v>
          </cell>
        </row>
        <row r="1045">
          <cell r="A1045" t="str">
            <v>Krakonoš</v>
          </cell>
        </row>
        <row r="1046">
          <cell r="A1046" t="str">
            <v>Fantomas</v>
          </cell>
        </row>
        <row r="1047">
          <cell r="A1047" t="str">
            <v>Monika</v>
          </cell>
        </row>
        <row r="1048">
          <cell r="A1048" t="str">
            <v>Krakonoš</v>
          </cell>
        </row>
        <row r="1049">
          <cell r="A1049" t="str">
            <v>Fantomas</v>
          </cell>
        </row>
        <row r="1050">
          <cell r="A1050" t="str">
            <v>Fantomas</v>
          </cell>
        </row>
        <row r="1051">
          <cell r="A1051" t="str">
            <v>Krakonoš</v>
          </cell>
        </row>
        <row r="1052">
          <cell r="A1052" t="str">
            <v>Krakonoš</v>
          </cell>
        </row>
        <row r="1053">
          <cell r="A1053" t="str">
            <v>Rakosniček</v>
          </cell>
        </row>
        <row r="1054">
          <cell r="A1054" t="str">
            <v>Krakonoš</v>
          </cell>
        </row>
        <row r="1055">
          <cell r="A1055" t="str">
            <v>Pavel</v>
          </cell>
        </row>
        <row r="1056">
          <cell r="A1056" t="str">
            <v>Fantomas</v>
          </cell>
        </row>
        <row r="1057">
          <cell r="A1057" t="str">
            <v>Pavel</v>
          </cell>
        </row>
        <row r="1058">
          <cell r="A1058" t="str">
            <v>Monika</v>
          </cell>
        </row>
        <row r="1059">
          <cell r="A1059" t="str">
            <v>Monika</v>
          </cell>
        </row>
        <row r="1060">
          <cell r="A1060" t="str">
            <v>Krakonoš</v>
          </cell>
        </row>
        <row r="1061">
          <cell r="A1061" t="str">
            <v>Pavel</v>
          </cell>
        </row>
        <row r="1062">
          <cell r="A1062" t="str">
            <v>Monika</v>
          </cell>
        </row>
        <row r="1063">
          <cell r="A1063" t="str">
            <v>Krakonoš</v>
          </cell>
        </row>
        <row r="1064">
          <cell r="A1064" t="str">
            <v>Pavel</v>
          </cell>
        </row>
        <row r="1065">
          <cell r="A1065" t="str">
            <v>Rakosniček</v>
          </cell>
        </row>
        <row r="1066">
          <cell r="A1066" t="str">
            <v>Krakonoš</v>
          </cell>
        </row>
        <row r="1067">
          <cell r="A1067" t="str">
            <v>Rakosniček</v>
          </cell>
        </row>
        <row r="1068">
          <cell r="A1068" t="str">
            <v>Fantomas</v>
          </cell>
        </row>
        <row r="1069">
          <cell r="A1069" t="str">
            <v>Fantomas</v>
          </cell>
        </row>
        <row r="1070">
          <cell r="A1070" t="str">
            <v>Monika</v>
          </cell>
        </row>
        <row r="1071">
          <cell r="A1071" t="str">
            <v>Monika</v>
          </cell>
        </row>
        <row r="1072">
          <cell r="A1072" t="str">
            <v>Pavel</v>
          </cell>
        </row>
        <row r="1073">
          <cell r="A1073" t="str">
            <v>Monika</v>
          </cell>
        </row>
        <row r="1074">
          <cell r="A1074" t="str">
            <v>Krakonoš</v>
          </cell>
        </row>
        <row r="1075">
          <cell r="A1075" t="str">
            <v>Pavel</v>
          </cell>
        </row>
        <row r="1076">
          <cell r="A1076" t="str">
            <v>Monika</v>
          </cell>
        </row>
        <row r="1077">
          <cell r="A1077" t="str">
            <v>Fantomas</v>
          </cell>
        </row>
        <row r="1078">
          <cell r="A1078" t="str">
            <v>Rakosniček</v>
          </cell>
        </row>
        <row r="1079">
          <cell r="A1079" t="str">
            <v>Pavel</v>
          </cell>
        </row>
        <row r="1080">
          <cell r="A1080" t="str">
            <v>Pavel</v>
          </cell>
        </row>
        <row r="1081">
          <cell r="A1081" t="str">
            <v>Pavel</v>
          </cell>
        </row>
        <row r="1082">
          <cell r="A1082" t="str">
            <v>Pavel</v>
          </cell>
        </row>
        <row r="1083">
          <cell r="A1083" t="str">
            <v>Rakosniček</v>
          </cell>
        </row>
        <row r="1084">
          <cell r="A1084" t="str">
            <v>Rakosniček</v>
          </cell>
        </row>
        <row r="1085">
          <cell r="A1085" t="str">
            <v>Pavel</v>
          </cell>
        </row>
        <row r="1086">
          <cell r="A1086" t="str">
            <v>Rakosniček</v>
          </cell>
        </row>
        <row r="1087">
          <cell r="A1087" t="str">
            <v>Pavel</v>
          </cell>
        </row>
        <row r="1088">
          <cell r="A1088" t="str">
            <v>Rakosniček</v>
          </cell>
        </row>
        <row r="1089">
          <cell r="A1089" t="str">
            <v>Krakonoš</v>
          </cell>
        </row>
        <row r="1090">
          <cell r="A1090" t="str">
            <v>Rakosniček</v>
          </cell>
        </row>
        <row r="1091">
          <cell r="A1091" t="str">
            <v>Krakonoš</v>
          </cell>
        </row>
        <row r="1092">
          <cell r="A1092" t="str">
            <v>Pavel</v>
          </cell>
        </row>
        <row r="1093">
          <cell r="A1093" t="str">
            <v>Pavel</v>
          </cell>
        </row>
        <row r="1094">
          <cell r="A1094" t="str">
            <v>Fantomas</v>
          </cell>
        </row>
        <row r="1095">
          <cell r="A1095" t="str">
            <v>Monika</v>
          </cell>
        </row>
        <row r="1096">
          <cell r="A1096" t="str">
            <v>Rakosniček</v>
          </cell>
        </row>
        <row r="1097">
          <cell r="A1097" t="str">
            <v>Krakonoš</v>
          </cell>
        </row>
        <row r="1098">
          <cell r="A1098" t="str">
            <v>Pavel</v>
          </cell>
        </row>
        <row r="1099">
          <cell r="A1099" t="str">
            <v>Rakosniček</v>
          </cell>
        </row>
        <row r="1100">
          <cell r="A1100" t="str">
            <v>Monika</v>
          </cell>
        </row>
        <row r="1101">
          <cell r="A1101" t="str">
            <v>Pavel</v>
          </cell>
        </row>
        <row r="1102">
          <cell r="A1102" t="str">
            <v>Rakosniček</v>
          </cell>
        </row>
        <row r="1103">
          <cell r="A1103" t="str">
            <v>Rakosniček</v>
          </cell>
        </row>
        <row r="1104">
          <cell r="A1104" t="str">
            <v>Pavel</v>
          </cell>
        </row>
        <row r="1105">
          <cell r="A1105" t="str">
            <v>Fantomas</v>
          </cell>
        </row>
        <row r="1106">
          <cell r="A1106" t="str">
            <v>Fantomas</v>
          </cell>
        </row>
        <row r="1107">
          <cell r="A1107" t="str">
            <v>Krakonoš</v>
          </cell>
        </row>
        <row r="1108">
          <cell r="A1108" t="str">
            <v>Monika</v>
          </cell>
        </row>
        <row r="1109">
          <cell r="A1109" t="str">
            <v>Krakonoš</v>
          </cell>
        </row>
        <row r="1110">
          <cell r="A1110" t="str">
            <v>Monika</v>
          </cell>
        </row>
        <row r="1111">
          <cell r="A1111" t="str">
            <v>Monika</v>
          </cell>
        </row>
        <row r="1112">
          <cell r="A1112" t="str">
            <v>Rakosniček</v>
          </cell>
        </row>
        <row r="1113">
          <cell r="A1113" t="str">
            <v>Fantomas</v>
          </cell>
        </row>
        <row r="1114">
          <cell r="A1114" t="str">
            <v>Fantomas</v>
          </cell>
        </row>
        <row r="1115">
          <cell r="A1115" t="str">
            <v>Monika</v>
          </cell>
        </row>
        <row r="1116">
          <cell r="A1116" t="str">
            <v>Monika</v>
          </cell>
        </row>
        <row r="1117">
          <cell r="A1117" t="str">
            <v>Monika</v>
          </cell>
        </row>
        <row r="1118">
          <cell r="A1118" t="str">
            <v>Fantomas</v>
          </cell>
        </row>
        <row r="1119">
          <cell r="A1119" t="str">
            <v>Pavel</v>
          </cell>
        </row>
        <row r="1120">
          <cell r="A1120" t="str">
            <v>Fantomas</v>
          </cell>
        </row>
        <row r="1121">
          <cell r="A1121" t="str">
            <v>Monika</v>
          </cell>
        </row>
        <row r="1122">
          <cell r="A1122" t="str">
            <v>Krakonoš</v>
          </cell>
        </row>
        <row r="1123">
          <cell r="A1123" t="str">
            <v>Pavel</v>
          </cell>
        </row>
        <row r="1124">
          <cell r="A1124" t="str">
            <v>Fantomas</v>
          </cell>
        </row>
        <row r="1125">
          <cell r="A1125" t="str">
            <v>Fantomas</v>
          </cell>
        </row>
        <row r="1126">
          <cell r="A1126" t="str">
            <v>Monika</v>
          </cell>
        </row>
        <row r="1127">
          <cell r="A1127" t="str">
            <v>Fantomas</v>
          </cell>
        </row>
        <row r="1128">
          <cell r="A1128" t="str">
            <v>Krakonoš</v>
          </cell>
        </row>
        <row r="1129">
          <cell r="A1129" t="str">
            <v>Monika</v>
          </cell>
        </row>
        <row r="1130">
          <cell r="A1130" t="str">
            <v>Fantomas</v>
          </cell>
        </row>
        <row r="1131">
          <cell r="A1131" t="str">
            <v>Krakonoš</v>
          </cell>
        </row>
        <row r="1132">
          <cell r="A1132" t="str">
            <v>Rakosniček</v>
          </cell>
        </row>
        <row r="1133">
          <cell r="A1133" t="str">
            <v>Rakosniček</v>
          </cell>
        </row>
        <row r="1134">
          <cell r="A1134" t="str">
            <v>Pavel</v>
          </cell>
        </row>
        <row r="1135">
          <cell r="A1135" t="str">
            <v>Rakosniček</v>
          </cell>
        </row>
        <row r="1136">
          <cell r="A1136" t="str">
            <v>Rakosniček</v>
          </cell>
        </row>
        <row r="1137">
          <cell r="A1137" t="str">
            <v>Rakosniček</v>
          </cell>
        </row>
        <row r="1138">
          <cell r="A1138" t="str">
            <v>Pavel</v>
          </cell>
        </row>
        <row r="1139">
          <cell r="A1139" t="str">
            <v>Krakonoš</v>
          </cell>
        </row>
        <row r="1140">
          <cell r="A1140" t="str">
            <v>Krakonoš</v>
          </cell>
        </row>
        <row r="1141">
          <cell r="A1141" t="str">
            <v>Rakosniček</v>
          </cell>
        </row>
        <row r="1142">
          <cell r="A1142" t="str">
            <v>Monika</v>
          </cell>
        </row>
        <row r="1143">
          <cell r="A1143" t="str">
            <v>Fantomas</v>
          </cell>
        </row>
        <row r="1144">
          <cell r="A1144" t="str">
            <v>Krakonoš</v>
          </cell>
        </row>
        <row r="1145">
          <cell r="A1145" t="str">
            <v>Fantomas</v>
          </cell>
        </row>
        <row r="1146">
          <cell r="A1146" t="str">
            <v>Fantomas</v>
          </cell>
        </row>
        <row r="1147">
          <cell r="A1147" t="str">
            <v>Rakosniček</v>
          </cell>
        </row>
        <row r="1148">
          <cell r="A1148" t="str">
            <v>Krakonoš</v>
          </cell>
        </row>
        <row r="1149">
          <cell r="A1149" t="str">
            <v>Pavel</v>
          </cell>
        </row>
        <row r="1150">
          <cell r="A1150" t="str">
            <v>Pavel</v>
          </cell>
        </row>
        <row r="1151">
          <cell r="A1151" t="str">
            <v>Pavel</v>
          </cell>
        </row>
        <row r="1152">
          <cell r="A1152" t="str">
            <v>Monika</v>
          </cell>
        </row>
        <row r="1153">
          <cell r="A1153" t="str">
            <v>Rakosniček</v>
          </cell>
        </row>
        <row r="1154">
          <cell r="A1154" t="str">
            <v>Fantomas</v>
          </cell>
        </row>
        <row r="1155">
          <cell r="A1155" t="str">
            <v>Fantomas</v>
          </cell>
        </row>
        <row r="1156">
          <cell r="A1156" t="str">
            <v>Krakonoš</v>
          </cell>
        </row>
        <row r="1157">
          <cell r="A1157" t="str">
            <v>Fantomas</v>
          </cell>
        </row>
        <row r="1158">
          <cell r="A1158" t="str">
            <v>Pavel</v>
          </cell>
        </row>
        <row r="1159">
          <cell r="A1159" t="str">
            <v>Pavel</v>
          </cell>
        </row>
        <row r="1160">
          <cell r="A1160" t="str">
            <v>Rakosniček</v>
          </cell>
        </row>
        <row r="1161">
          <cell r="A1161" t="str">
            <v>Monika</v>
          </cell>
        </row>
        <row r="1162">
          <cell r="A1162" t="str">
            <v>Monika</v>
          </cell>
        </row>
        <row r="1163">
          <cell r="A1163" t="str">
            <v>Pavel</v>
          </cell>
        </row>
        <row r="1164">
          <cell r="A1164" t="str">
            <v>Monika</v>
          </cell>
        </row>
        <row r="1165">
          <cell r="A1165" t="str">
            <v>Pavel</v>
          </cell>
        </row>
        <row r="1166">
          <cell r="A1166" t="str">
            <v>Rakosniček</v>
          </cell>
        </row>
        <row r="1167">
          <cell r="A1167" t="str">
            <v>Fantomas</v>
          </cell>
        </row>
        <row r="1168">
          <cell r="A1168" t="str">
            <v>Fantomas</v>
          </cell>
        </row>
        <row r="1169">
          <cell r="A1169" t="str">
            <v>Monika</v>
          </cell>
        </row>
        <row r="1170">
          <cell r="A1170" t="str">
            <v>Rakosniček</v>
          </cell>
        </row>
        <row r="1171">
          <cell r="A1171" t="str">
            <v>Monika</v>
          </cell>
        </row>
        <row r="1172">
          <cell r="A1172" t="str">
            <v>Krakonoš</v>
          </cell>
        </row>
        <row r="1173">
          <cell r="A1173" t="str">
            <v>Pavel</v>
          </cell>
        </row>
        <row r="1174">
          <cell r="A1174" t="str">
            <v>Krakonoš</v>
          </cell>
        </row>
        <row r="1175">
          <cell r="A1175" t="str">
            <v>Fantomas</v>
          </cell>
        </row>
        <row r="1176">
          <cell r="A1176" t="str">
            <v>Krakonoš</v>
          </cell>
        </row>
        <row r="1177">
          <cell r="A1177" t="str">
            <v>Monika</v>
          </cell>
        </row>
        <row r="1178">
          <cell r="A1178" t="str">
            <v>Pavel</v>
          </cell>
        </row>
        <row r="1179">
          <cell r="A1179" t="str">
            <v>Pavel</v>
          </cell>
        </row>
        <row r="1180">
          <cell r="A1180" t="str">
            <v>Rakosniček</v>
          </cell>
        </row>
        <row r="1181">
          <cell r="A1181" t="str">
            <v>Pavel</v>
          </cell>
        </row>
        <row r="1182">
          <cell r="A1182" t="str">
            <v>Fantomas</v>
          </cell>
        </row>
        <row r="1183">
          <cell r="A1183" t="str">
            <v>Krakonoš</v>
          </cell>
        </row>
        <row r="1184">
          <cell r="A1184" t="str">
            <v>Monika</v>
          </cell>
        </row>
        <row r="1185">
          <cell r="A1185" t="str">
            <v>Pavel</v>
          </cell>
        </row>
        <row r="1186">
          <cell r="A1186" t="str">
            <v>Monika</v>
          </cell>
        </row>
        <row r="1187">
          <cell r="A1187" t="str">
            <v>Krakonoš</v>
          </cell>
        </row>
        <row r="1188">
          <cell r="A1188" t="str">
            <v>Pavel</v>
          </cell>
        </row>
        <row r="1189">
          <cell r="A1189" t="str">
            <v>Fantomas</v>
          </cell>
        </row>
        <row r="1190">
          <cell r="A1190" t="str">
            <v>Pavel</v>
          </cell>
        </row>
        <row r="1191">
          <cell r="A1191" t="str">
            <v>Pavel</v>
          </cell>
        </row>
        <row r="1192">
          <cell r="A1192" t="str">
            <v>Pavel</v>
          </cell>
        </row>
        <row r="1193">
          <cell r="A1193" t="str">
            <v>Rakosniček</v>
          </cell>
        </row>
        <row r="1194">
          <cell r="A1194" t="str">
            <v>Pavel</v>
          </cell>
        </row>
        <row r="1195">
          <cell r="A1195" t="str">
            <v>Krakonoš</v>
          </cell>
        </row>
        <row r="1196">
          <cell r="A1196" t="str">
            <v>Fantomas</v>
          </cell>
        </row>
        <row r="1197">
          <cell r="A1197" t="str">
            <v>Pavel</v>
          </cell>
        </row>
        <row r="1198">
          <cell r="A1198" t="str">
            <v>Pavel</v>
          </cell>
        </row>
        <row r="1199">
          <cell r="A1199" t="str">
            <v>Monika</v>
          </cell>
        </row>
        <row r="1200">
          <cell r="A1200" t="str">
            <v>Pavel</v>
          </cell>
        </row>
        <row r="1201">
          <cell r="A1201" t="str">
            <v>Rakosniček</v>
          </cell>
        </row>
        <row r="1202">
          <cell r="A1202" t="str">
            <v>Krakonoš</v>
          </cell>
        </row>
        <row r="1203">
          <cell r="A1203" t="str">
            <v>Monika</v>
          </cell>
        </row>
        <row r="1204">
          <cell r="A1204" t="str">
            <v>Monika</v>
          </cell>
        </row>
        <row r="1205">
          <cell r="A1205" t="str">
            <v>Monika</v>
          </cell>
        </row>
        <row r="1206">
          <cell r="A1206" t="str">
            <v>Krakonoš</v>
          </cell>
        </row>
        <row r="1207">
          <cell r="A1207" t="str">
            <v>Fantomas</v>
          </cell>
        </row>
        <row r="1208">
          <cell r="A1208" t="str">
            <v>Pavel</v>
          </cell>
        </row>
        <row r="1209">
          <cell r="A1209" t="str">
            <v>Rakosniček</v>
          </cell>
        </row>
        <row r="1210">
          <cell r="A1210" t="str">
            <v>Krakonoš</v>
          </cell>
        </row>
        <row r="1211">
          <cell r="A1211" t="str">
            <v>Krakonoš</v>
          </cell>
        </row>
        <row r="1212">
          <cell r="A1212" t="str">
            <v>Pavel</v>
          </cell>
        </row>
        <row r="1213">
          <cell r="A1213" t="str">
            <v>Krakonoš</v>
          </cell>
        </row>
        <row r="1214">
          <cell r="A1214" t="str">
            <v>Krakonoš</v>
          </cell>
        </row>
        <row r="1215">
          <cell r="A1215" t="str">
            <v>Monika</v>
          </cell>
        </row>
        <row r="1216">
          <cell r="A1216" t="str">
            <v>Rakosniček</v>
          </cell>
        </row>
        <row r="1217">
          <cell r="A1217" t="str">
            <v>Rakosniček</v>
          </cell>
        </row>
        <row r="1218">
          <cell r="A1218" t="str">
            <v>Pavel</v>
          </cell>
        </row>
        <row r="1219">
          <cell r="A1219" t="str">
            <v>Krakonoš</v>
          </cell>
        </row>
        <row r="1220">
          <cell r="A1220" t="str">
            <v>Fantomas</v>
          </cell>
        </row>
        <row r="1221">
          <cell r="A1221" t="str">
            <v>Rakosniček</v>
          </cell>
        </row>
        <row r="1222">
          <cell r="A1222" t="str">
            <v>Pavel</v>
          </cell>
        </row>
        <row r="1223">
          <cell r="A1223" t="str">
            <v>Fantomas</v>
          </cell>
        </row>
        <row r="1224">
          <cell r="A1224" t="str">
            <v>Monika</v>
          </cell>
        </row>
        <row r="1225">
          <cell r="A1225" t="str">
            <v>Fantomas</v>
          </cell>
        </row>
        <row r="1226">
          <cell r="A1226" t="str">
            <v>Rakosniček</v>
          </cell>
        </row>
        <row r="1227">
          <cell r="A1227" t="str">
            <v>Fantomas</v>
          </cell>
        </row>
        <row r="1228">
          <cell r="A1228" t="str">
            <v>Rakosniček</v>
          </cell>
        </row>
        <row r="1229">
          <cell r="A1229" t="str">
            <v>Monika</v>
          </cell>
        </row>
        <row r="1230">
          <cell r="A1230" t="str">
            <v>Pavel</v>
          </cell>
        </row>
        <row r="1231">
          <cell r="A1231" t="str">
            <v>Rakosniček</v>
          </cell>
        </row>
        <row r="1232">
          <cell r="A1232" t="str">
            <v>Monika</v>
          </cell>
        </row>
        <row r="1233">
          <cell r="A1233" t="str">
            <v>Pavel</v>
          </cell>
        </row>
        <row r="1234">
          <cell r="A1234" t="str">
            <v>Fantomas</v>
          </cell>
        </row>
        <row r="1235">
          <cell r="A1235" t="str">
            <v>Krakonoš</v>
          </cell>
        </row>
        <row r="1236">
          <cell r="A1236" t="str">
            <v>Krakonoš</v>
          </cell>
        </row>
        <row r="1237">
          <cell r="A1237" t="str">
            <v>Rakosniček</v>
          </cell>
        </row>
        <row r="1238">
          <cell r="A1238" t="str">
            <v>Rakosniček</v>
          </cell>
        </row>
        <row r="1239">
          <cell r="A1239" t="str">
            <v>Fantomas</v>
          </cell>
        </row>
        <row r="1240">
          <cell r="A1240" t="str">
            <v>Krakonoš</v>
          </cell>
        </row>
        <row r="1241">
          <cell r="A1241" t="str">
            <v>Fantomas</v>
          </cell>
        </row>
        <row r="1242">
          <cell r="A1242" t="str">
            <v>Fantomas</v>
          </cell>
        </row>
        <row r="1243">
          <cell r="A1243" t="str">
            <v>Fantomas</v>
          </cell>
        </row>
        <row r="1244">
          <cell r="A1244" t="str">
            <v>Fantomas</v>
          </cell>
        </row>
        <row r="1245">
          <cell r="A1245" t="str">
            <v>Fantomas</v>
          </cell>
        </row>
        <row r="1246">
          <cell r="A1246" t="str">
            <v>Monika</v>
          </cell>
        </row>
        <row r="1247">
          <cell r="A1247" t="str">
            <v>Krakonoš</v>
          </cell>
        </row>
        <row r="1248">
          <cell r="A1248" t="str">
            <v>Monika</v>
          </cell>
        </row>
        <row r="1249">
          <cell r="A1249" t="str">
            <v>Pavel</v>
          </cell>
        </row>
        <row r="1250">
          <cell r="A1250" t="str">
            <v>Monika</v>
          </cell>
        </row>
        <row r="1251">
          <cell r="A1251" t="str">
            <v>Krakonoš</v>
          </cell>
        </row>
        <row r="1252">
          <cell r="A1252" t="str">
            <v>Fantomas</v>
          </cell>
        </row>
        <row r="1253">
          <cell r="A1253" t="str">
            <v>Monika</v>
          </cell>
        </row>
        <row r="1254">
          <cell r="A1254" t="str">
            <v>Monika</v>
          </cell>
        </row>
        <row r="1255">
          <cell r="A1255" t="str">
            <v>Rakosniček</v>
          </cell>
        </row>
        <row r="1256">
          <cell r="A1256" t="str">
            <v>Pavel</v>
          </cell>
        </row>
        <row r="1257">
          <cell r="A1257" t="str">
            <v>Monika</v>
          </cell>
        </row>
        <row r="1258">
          <cell r="A1258" t="str">
            <v>Rakosniček</v>
          </cell>
        </row>
        <row r="1259">
          <cell r="A1259" t="str">
            <v>Krakonoš</v>
          </cell>
        </row>
        <row r="1260">
          <cell r="A1260" t="str">
            <v>Pavel</v>
          </cell>
        </row>
        <row r="1261">
          <cell r="A1261" t="str">
            <v>Fantomas</v>
          </cell>
        </row>
        <row r="1262">
          <cell r="A1262" t="str">
            <v>Krakonoš</v>
          </cell>
        </row>
        <row r="1263">
          <cell r="A1263" t="str">
            <v>Pavel</v>
          </cell>
        </row>
        <row r="1264">
          <cell r="A1264" t="str">
            <v>Pavel</v>
          </cell>
        </row>
        <row r="1265">
          <cell r="A1265" t="str">
            <v>Monika</v>
          </cell>
        </row>
        <row r="1266">
          <cell r="A1266" t="str">
            <v>Fantomas</v>
          </cell>
        </row>
        <row r="1267">
          <cell r="A1267" t="str">
            <v>Monika</v>
          </cell>
        </row>
        <row r="1268">
          <cell r="A1268" t="str">
            <v>Krakonoš</v>
          </cell>
        </row>
        <row r="1269">
          <cell r="A1269" t="str">
            <v>Monika</v>
          </cell>
        </row>
        <row r="1270">
          <cell r="A1270" t="str">
            <v>Monika</v>
          </cell>
        </row>
        <row r="1271">
          <cell r="A1271" t="str">
            <v>Fantomas</v>
          </cell>
        </row>
        <row r="1272">
          <cell r="A1272" t="str">
            <v>Rakosniček</v>
          </cell>
        </row>
        <row r="1273">
          <cell r="A1273" t="str">
            <v>Pavel</v>
          </cell>
        </row>
        <row r="1274">
          <cell r="A1274" t="str">
            <v>Pavel</v>
          </cell>
        </row>
        <row r="1275">
          <cell r="A1275" t="str">
            <v>Pavel</v>
          </cell>
        </row>
        <row r="1276">
          <cell r="A1276" t="str">
            <v>Monika</v>
          </cell>
        </row>
        <row r="1277">
          <cell r="A1277" t="str">
            <v>Krakonoš</v>
          </cell>
        </row>
        <row r="1278">
          <cell r="A1278" t="str">
            <v>Rakosniček</v>
          </cell>
        </row>
        <row r="1279">
          <cell r="A1279" t="str">
            <v>Fantomas</v>
          </cell>
        </row>
        <row r="1280">
          <cell r="A1280" t="str">
            <v>Krakonoš</v>
          </cell>
        </row>
        <row r="1281">
          <cell r="A1281" t="str">
            <v>Fantomas</v>
          </cell>
        </row>
        <row r="1282">
          <cell r="A1282" t="str">
            <v>Pavel</v>
          </cell>
        </row>
        <row r="1283">
          <cell r="A1283" t="str">
            <v>Fantomas</v>
          </cell>
        </row>
        <row r="1284">
          <cell r="A1284" t="str">
            <v>Krakonoš</v>
          </cell>
        </row>
        <row r="1285">
          <cell r="A1285" t="str">
            <v>Krakonoš</v>
          </cell>
        </row>
        <row r="1286">
          <cell r="A1286" t="str">
            <v>Fantomas</v>
          </cell>
        </row>
        <row r="1287">
          <cell r="A1287" t="str">
            <v>Pavel</v>
          </cell>
        </row>
        <row r="1288">
          <cell r="A1288" t="str">
            <v>Monika</v>
          </cell>
        </row>
        <row r="1289">
          <cell r="A1289" t="str">
            <v>Rakosniček</v>
          </cell>
        </row>
        <row r="1290">
          <cell r="A1290" t="str">
            <v>Krakonoš</v>
          </cell>
        </row>
        <row r="1291">
          <cell r="A1291" t="str">
            <v>Rakosniček</v>
          </cell>
        </row>
        <row r="1292">
          <cell r="A1292" t="str">
            <v>Pavel</v>
          </cell>
        </row>
        <row r="1293">
          <cell r="A1293" t="str">
            <v>Pavel</v>
          </cell>
        </row>
        <row r="1294">
          <cell r="A1294" t="str">
            <v>Krakonoš</v>
          </cell>
        </row>
        <row r="1295">
          <cell r="A1295" t="str">
            <v>Monika</v>
          </cell>
        </row>
        <row r="1296">
          <cell r="A1296" t="str">
            <v>Krakonoš</v>
          </cell>
        </row>
        <row r="1297">
          <cell r="A1297" t="str">
            <v>Fantomas</v>
          </cell>
        </row>
        <row r="1298">
          <cell r="A1298" t="str">
            <v>Krakonoš</v>
          </cell>
        </row>
        <row r="1299">
          <cell r="A1299" t="str">
            <v>Rakosniček</v>
          </cell>
        </row>
        <row r="1300">
          <cell r="A1300" t="str">
            <v>Fantomas</v>
          </cell>
        </row>
        <row r="1301">
          <cell r="A1301" t="str">
            <v>Monika</v>
          </cell>
        </row>
        <row r="1302">
          <cell r="A1302" t="str">
            <v>Fantomas</v>
          </cell>
        </row>
        <row r="1303">
          <cell r="A1303" t="str">
            <v>Rakosniček</v>
          </cell>
        </row>
        <row r="1304">
          <cell r="A1304" t="str">
            <v>Rakosniček</v>
          </cell>
        </row>
        <row r="1305">
          <cell r="A1305" t="str">
            <v>Krakonoš</v>
          </cell>
        </row>
        <row r="1306">
          <cell r="A1306" t="str">
            <v>Monika</v>
          </cell>
        </row>
        <row r="1307">
          <cell r="A1307" t="str">
            <v>Pavel</v>
          </cell>
        </row>
        <row r="1308">
          <cell r="A1308" t="str">
            <v>Fantomas</v>
          </cell>
        </row>
        <row r="1309">
          <cell r="A1309" t="str">
            <v>Monika</v>
          </cell>
        </row>
        <row r="1310">
          <cell r="A1310" t="str">
            <v>Fantomas</v>
          </cell>
        </row>
        <row r="1311">
          <cell r="A1311" t="str">
            <v>Pavel</v>
          </cell>
        </row>
        <row r="1312">
          <cell r="A1312" t="str">
            <v>Rakosniček</v>
          </cell>
        </row>
        <row r="1313">
          <cell r="A1313" t="str">
            <v>Monika</v>
          </cell>
        </row>
        <row r="1314">
          <cell r="A1314" t="str">
            <v>Monika</v>
          </cell>
        </row>
        <row r="1315">
          <cell r="A1315" t="str">
            <v>Krakonoš</v>
          </cell>
        </row>
        <row r="1316">
          <cell r="A1316" t="str">
            <v>Krakonoš</v>
          </cell>
        </row>
        <row r="1317">
          <cell r="A1317" t="str">
            <v>Krakonoš</v>
          </cell>
        </row>
        <row r="1318">
          <cell r="A1318" t="str">
            <v>Pavel</v>
          </cell>
        </row>
        <row r="1319">
          <cell r="A1319" t="str">
            <v>Fantomas</v>
          </cell>
        </row>
        <row r="1320">
          <cell r="A1320" t="str">
            <v>Rakosniček</v>
          </cell>
        </row>
        <row r="1321">
          <cell r="A1321" t="str">
            <v>Krakonoš</v>
          </cell>
        </row>
        <row r="1322">
          <cell r="A1322" t="str">
            <v>Rakosniček</v>
          </cell>
        </row>
        <row r="1323">
          <cell r="A1323" t="str">
            <v>Fantomas</v>
          </cell>
        </row>
        <row r="1324">
          <cell r="A1324" t="str">
            <v>Rakosniček</v>
          </cell>
        </row>
        <row r="1325">
          <cell r="A1325" t="str">
            <v>Pavel</v>
          </cell>
        </row>
        <row r="1326">
          <cell r="A1326" t="str">
            <v>Krakonoš</v>
          </cell>
        </row>
        <row r="1327">
          <cell r="A1327" t="str">
            <v>Krakonoš</v>
          </cell>
        </row>
        <row r="1328">
          <cell r="A1328" t="str">
            <v>Rakosniček</v>
          </cell>
        </row>
        <row r="1329">
          <cell r="A1329" t="str">
            <v>Monika</v>
          </cell>
        </row>
        <row r="1330">
          <cell r="A1330" t="str">
            <v>Fantomas</v>
          </cell>
        </row>
        <row r="1331">
          <cell r="A1331" t="str">
            <v>Krakonoš</v>
          </cell>
        </row>
        <row r="1332">
          <cell r="A1332" t="str">
            <v>Pavel</v>
          </cell>
        </row>
        <row r="1333">
          <cell r="A1333" t="str">
            <v>Rakosniček</v>
          </cell>
        </row>
        <row r="1334">
          <cell r="A1334" t="str">
            <v>Fantomas</v>
          </cell>
        </row>
        <row r="1335">
          <cell r="A1335" t="str">
            <v>Fantomas</v>
          </cell>
        </row>
        <row r="1336">
          <cell r="A1336" t="str">
            <v>Monika</v>
          </cell>
        </row>
        <row r="1337">
          <cell r="A1337" t="str">
            <v>Krakonoš</v>
          </cell>
        </row>
        <row r="1338">
          <cell r="A1338" t="str">
            <v>Rakosniček</v>
          </cell>
        </row>
        <row r="1339">
          <cell r="A1339" t="str">
            <v>Rakosniček</v>
          </cell>
        </row>
        <row r="1340">
          <cell r="A1340" t="str">
            <v>Fantomas</v>
          </cell>
        </row>
        <row r="1341">
          <cell r="A1341" t="str">
            <v>Fantomas</v>
          </cell>
        </row>
        <row r="1342">
          <cell r="A1342" t="str">
            <v>Rakosniček</v>
          </cell>
        </row>
        <row r="1343">
          <cell r="A1343" t="str">
            <v>Fantomas</v>
          </cell>
        </row>
        <row r="1344">
          <cell r="A1344" t="str">
            <v>Krakonoš</v>
          </cell>
        </row>
        <row r="1345">
          <cell r="A1345" t="str">
            <v>Rakosniček</v>
          </cell>
        </row>
        <row r="1346">
          <cell r="A1346" t="str">
            <v>Krakonoš</v>
          </cell>
        </row>
        <row r="1347">
          <cell r="A1347" t="str">
            <v>Krakonoš</v>
          </cell>
        </row>
        <row r="1348">
          <cell r="A1348" t="str">
            <v>Fantomas</v>
          </cell>
        </row>
        <row r="1349">
          <cell r="A1349" t="str">
            <v>Pavel</v>
          </cell>
        </row>
        <row r="1350">
          <cell r="A1350" t="str">
            <v>Pavel</v>
          </cell>
        </row>
        <row r="1351">
          <cell r="A1351" t="str">
            <v>Krakonoš</v>
          </cell>
        </row>
        <row r="1352">
          <cell r="A1352" t="str">
            <v>Fantomas</v>
          </cell>
        </row>
        <row r="1353">
          <cell r="A1353" t="str">
            <v>Pavel</v>
          </cell>
        </row>
        <row r="1354">
          <cell r="A1354" t="str">
            <v>Monika</v>
          </cell>
        </row>
        <row r="1355">
          <cell r="A1355" t="str">
            <v>Monika</v>
          </cell>
        </row>
        <row r="1356">
          <cell r="A1356" t="str">
            <v>Fantomas</v>
          </cell>
        </row>
        <row r="1357">
          <cell r="A1357" t="str">
            <v>Krakonoš</v>
          </cell>
        </row>
        <row r="1358">
          <cell r="A1358" t="str">
            <v>Monika</v>
          </cell>
        </row>
        <row r="1359">
          <cell r="A1359" t="str">
            <v>Rakosniček</v>
          </cell>
        </row>
        <row r="1360">
          <cell r="A1360" t="str">
            <v>Rakosniček</v>
          </cell>
        </row>
        <row r="1361">
          <cell r="A1361" t="str">
            <v>Fantomas</v>
          </cell>
        </row>
        <row r="1362">
          <cell r="A1362" t="str">
            <v>Fantomas</v>
          </cell>
        </row>
        <row r="1363">
          <cell r="A1363" t="str">
            <v>Monika</v>
          </cell>
        </row>
        <row r="1364">
          <cell r="A1364" t="str">
            <v>Pavel</v>
          </cell>
        </row>
        <row r="1365">
          <cell r="A1365" t="str">
            <v>Pavel</v>
          </cell>
        </row>
        <row r="1366">
          <cell r="A1366" t="str">
            <v>Monika</v>
          </cell>
        </row>
        <row r="1367">
          <cell r="A1367" t="str">
            <v>Monika</v>
          </cell>
        </row>
        <row r="1368">
          <cell r="A1368" t="str">
            <v>Pavel</v>
          </cell>
        </row>
        <row r="1369">
          <cell r="A1369" t="str">
            <v>Rakosniček</v>
          </cell>
        </row>
        <row r="1370">
          <cell r="A1370" t="str">
            <v>Rakosniček</v>
          </cell>
        </row>
        <row r="1371">
          <cell r="A1371" t="str">
            <v>Fantomas</v>
          </cell>
        </row>
        <row r="1372">
          <cell r="A1372" t="str">
            <v>Pavel</v>
          </cell>
        </row>
        <row r="1373">
          <cell r="A1373" t="str">
            <v>Krakonoš</v>
          </cell>
        </row>
        <row r="1374">
          <cell r="A1374" t="str">
            <v>Fantomas</v>
          </cell>
        </row>
        <row r="1375">
          <cell r="A1375" t="str">
            <v>Rakosniček</v>
          </cell>
        </row>
        <row r="1376">
          <cell r="A1376" t="str">
            <v>Pavel</v>
          </cell>
        </row>
        <row r="1377">
          <cell r="A1377" t="str">
            <v>Rakosniček</v>
          </cell>
        </row>
        <row r="1378">
          <cell r="A1378" t="str">
            <v>Fantomas</v>
          </cell>
        </row>
        <row r="1379">
          <cell r="A1379" t="str">
            <v>Fantomas</v>
          </cell>
        </row>
        <row r="1380">
          <cell r="A1380" t="str">
            <v>Fantomas</v>
          </cell>
        </row>
        <row r="1381">
          <cell r="A1381" t="str">
            <v>Fantomas</v>
          </cell>
        </row>
        <row r="1382">
          <cell r="A1382" t="str">
            <v>Monika</v>
          </cell>
        </row>
        <row r="1383">
          <cell r="A1383" t="str">
            <v>Monika</v>
          </cell>
        </row>
        <row r="1384">
          <cell r="A1384" t="str">
            <v>Krakonoš</v>
          </cell>
        </row>
        <row r="1385">
          <cell r="A1385" t="str">
            <v>Monika</v>
          </cell>
        </row>
        <row r="1386">
          <cell r="A1386" t="str">
            <v>Rakosniček</v>
          </cell>
        </row>
        <row r="1387">
          <cell r="A1387" t="str">
            <v>Pavel</v>
          </cell>
        </row>
        <row r="1388">
          <cell r="A1388" t="str">
            <v>Monika</v>
          </cell>
        </row>
        <row r="1389">
          <cell r="A1389" t="str">
            <v>Fantomas</v>
          </cell>
        </row>
        <row r="1390">
          <cell r="A1390" t="str">
            <v>Krakonoš</v>
          </cell>
        </row>
        <row r="1391">
          <cell r="A1391" t="str">
            <v>Rakosniček</v>
          </cell>
        </row>
        <row r="1392">
          <cell r="A1392" t="str">
            <v>Krakonoš</v>
          </cell>
        </row>
        <row r="1393">
          <cell r="A1393" t="str">
            <v>Pavel</v>
          </cell>
        </row>
        <row r="1394">
          <cell r="A1394" t="str">
            <v>Monika</v>
          </cell>
        </row>
        <row r="1395">
          <cell r="A1395" t="str">
            <v>Krakonoš</v>
          </cell>
        </row>
        <row r="1396">
          <cell r="A1396" t="str">
            <v>Krakonoš</v>
          </cell>
        </row>
        <row r="1397">
          <cell r="A1397" t="str">
            <v>Fantomas</v>
          </cell>
        </row>
        <row r="1398">
          <cell r="A1398" t="str">
            <v>Monika</v>
          </cell>
        </row>
        <row r="1399">
          <cell r="A1399" t="str">
            <v>Pavel</v>
          </cell>
        </row>
        <row r="1400">
          <cell r="A1400" t="str">
            <v>Pavel</v>
          </cell>
        </row>
        <row r="1401">
          <cell r="A1401" t="str">
            <v>Krakonoš</v>
          </cell>
        </row>
        <row r="1402">
          <cell r="A1402" t="str">
            <v>Fantomas</v>
          </cell>
        </row>
        <row r="1403">
          <cell r="A1403" t="str">
            <v>Krakonoš</v>
          </cell>
        </row>
        <row r="1404">
          <cell r="A1404" t="str">
            <v>Monika</v>
          </cell>
        </row>
        <row r="1405">
          <cell r="A1405" t="str">
            <v>Krakonoš</v>
          </cell>
        </row>
        <row r="1406">
          <cell r="A1406" t="str">
            <v>Krakonoš</v>
          </cell>
        </row>
        <row r="1407">
          <cell r="A1407" t="str">
            <v>Pavel</v>
          </cell>
        </row>
        <row r="1408">
          <cell r="A1408" t="str">
            <v>Krakonoš</v>
          </cell>
        </row>
        <row r="1409">
          <cell r="A1409" t="str">
            <v>Krakonoš</v>
          </cell>
        </row>
        <row r="1410">
          <cell r="A1410" t="str">
            <v>Fantomas</v>
          </cell>
        </row>
        <row r="1411">
          <cell r="A1411" t="str">
            <v>Monika</v>
          </cell>
        </row>
        <row r="1412">
          <cell r="A1412" t="str">
            <v>Fantomas</v>
          </cell>
        </row>
        <row r="1413">
          <cell r="A1413" t="str">
            <v>Fantomas</v>
          </cell>
        </row>
        <row r="1414">
          <cell r="A1414" t="str">
            <v>Krakonoš</v>
          </cell>
        </row>
        <row r="1415">
          <cell r="A1415" t="str">
            <v>Rakosniček</v>
          </cell>
        </row>
        <row r="1416">
          <cell r="A1416" t="str">
            <v>Pavel</v>
          </cell>
        </row>
        <row r="1417">
          <cell r="A1417" t="str">
            <v>Monika</v>
          </cell>
        </row>
        <row r="1418">
          <cell r="A1418" t="str">
            <v>Monika</v>
          </cell>
        </row>
        <row r="1419">
          <cell r="A1419" t="str">
            <v>Rakosniček</v>
          </cell>
        </row>
        <row r="1420">
          <cell r="A1420" t="str">
            <v>Rakosniček</v>
          </cell>
        </row>
        <row r="1421">
          <cell r="A1421" t="str">
            <v>Monika</v>
          </cell>
        </row>
        <row r="1422">
          <cell r="A1422" t="str">
            <v>Krakonoš</v>
          </cell>
        </row>
        <row r="1423">
          <cell r="A1423" t="str">
            <v>Pavel</v>
          </cell>
        </row>
        <row r="1424">
          <cell r="A1424" t="str">
            <v>Krakonoš</v>
          </cell>
        </row>
        <row r="1425">
          <cell r="A1425" t="str">
            <v>Pavel</v>
          </cell>
        </row>
        <row r="1426">
          <cell r="A1426" t="str">
            <v>Monika</v>
          </cell>
        </row>
        <row r="1427">
          <cell r="A1427" t="str">
            <v>Krakonoš</v>
          </cell>
        </row>
        <row r="1428">
          <cell r="A1428" t="str">
            <v>Fantomas</v>
          </cell>
        </row>
        <row r="1429">
          <cell r="A1429" t="str">
            <v>Monika</v>
          </cell>
        </row>
        <row r="1430">
          <cell r="A1430" t="str">
            <v>Fantomas</v>
          </cell>
        </row>
        <row r="1431">
          <cell r="A1431" t="str">
            <v>Pavel</v>
          </cell>
        </row>
        <row r="1432">
          <cell r="A1432" t="str">
            <v>Rakosniček</v>
          </cell>
        </row>
        <row r="1433">
          <cell r="A1433" t="str">
            <v>Pavel</v>
          </cell>
        </row>
        <row r="1434">
          <cell r="A1434" t="str">
            <v>Krakonoš</v>
          </cell>
        </row>
        <row r="1435">
          <cell r="A1435" t="str">
            <v>Rakosniček</v>
          </cell>
        </row>
        <row r="1436">
          <cell r="A1436" t="str">
            <v>Fantomas</v>
          </cell>
        </row>
        <row r="1437">
          <cell r="A1437" t="str">
            <v>Pavel</v>
          </cell>
        </row>
        <row r="1438">
          <cell r="A1438" t="str">
            <v>Rakosniček</v>
          </cell>
        </row>
        <row r="1439">
          <cell r="A1439" t="str">
            <v>Pavel</v>
          </cell>
        </row>
        <row r="1440">
          <cell r="A1440" t="str">
            <v>Monika</v>
          </cell>
        </row>
        <row r="1441">
          <cell r="A1441" t="str">
            <v>Monika</v>
          </cell>
        </row>
        <row r="1442">
          <cell r="A1442" t="str">
            <v>Pavel</v>
          </cell>
        </row>
        <row r="1443">
          <cell r="A1443" t="str">
            <v>Monika</v>
          </cell>
        </row>
        <row r="1444">
          <cell r="A1444" t="str">
            <v>Monika</v>
          </cell>
        </row>
        <row r="1445">
          <cell r="A1445" t="str">
            <v>Krakonoš</v>
          </cell>
        </row>
        <row r="1446">
          <cell r="A1446" t="str">
            <v>Monika</v>
          </cell>
        </row>
        <row r="1447">
          <cell r="A1447" t="str">
            <v>Rakosniček</v>
          </cell>
        </row>
        <row r="1448">
          <cell r="A1448" t="str">
            <v>Monika</v>
          </cell>
        </row>
        <row r="1449">
          <cell r="A1449" t="str">
            <v>Rakosniček</v>
          </cell>
        </row>
        <row r="1450">
          <cell r="A1450" t="str">
            <v>Pavel</v>
          </cell>
        </row>
        <row r="1451">
          <cell r="A1451" t="str">
            <v>Krakonoš</v>
          </cell>
        </row>
        <row r="1452">
          <cell r="A1452" t="str">
            <v>Fantomas</v>
          </cell>
        </row>
        <row r="1453">
          <cell r="A1453" t="str">
            <v>Pavel</v>
          </cell>
        </row>
        <row r="1454">
          <cell r="A1454" t="str">
            <v>Pavel</v>
          </cell>
        </row>
        <row r="1455">
          <cell r="A1455" t="str">
            <v>Pavel</v>
          </cell>
        </row>
        <row r="1456">
          <cell r="A1456" t="str">
            <v>Fantomas</v>
          </cell>
        </row>
        <row r="1457">
          <cell r="A1457" t="str">
            <v>Monika</v>
          </cell>
        </row>
        <row r="1458">
          <cell r="A1458" t="str">
            <v>Pavel</v>
          </cell>
        </row>
        <row r="1459">
          <cell r="A1459" t="str">
            <v>Rakosniček</v>
          </cell>
        </row>
        <row r="1460">
          <cell r="A1460" t="str">
            <v>Monika</v>
          </cell>
        </row>
        <row r="1461">
          <cell r="A1461" t="str">
            <v>Rakosniček</v>
          </cell>
        </row>
        <row r="1462">
          <cell r="A1462" t="str">
            <v>Fantomas</v>
          </cell>
        </row>
        <row r="1463">
          <cell r="A1463" t="str">
            <v>Monika</v>
          </cell>
        </row>
        <row r="1464">
          <cell r="A1464" t="str">
            <v>Pavel</v>
          </cell>
        </row>
        <row r="1465">
          <cell r="A1465" t="str">
            <v>Pavel</v>
          </cell>
        </row>
        <row r="1466">
          <cell r="A1466" t="str">
            <v>Monika</v>
          </cell>
        </row>
        <row r="1467">
          <cell r="A1467" t="str">
            <v>Rakosniček</v>
          </cell>
        </row>
        <row r="1468">
          <cell r="A1468" t="str">
            <v>Rakosniček</v>
          </cell>
        </row>
        <row r="1469">
          <cell r="A1469" t="str">
            <v>Fantomas</v>
          </cell>
        </row>
        <row r="1470">
          <cell r="A1470" t="str">
            <v>Krakonoš</v>
          </cell>
        </row>
        <row r="1471">
          <cell r="A1471" t="str">
            <v>Rakosniček</v>
          </cell>
        </row>
        <row r="1472">
          <cell r="A1472" t="str">
            <v>Krakonoš</v>
          </cell>
        </row>
        <row r="1473">
          <cell r="A1473" t="str">
            <v>Fantomas</v>
          </cell>
        </row>
        <row r="1474">
          <cell r="A1474" t="str">
            <v>Rakosniček</v>
          </cell>
        </row>
        <row r="1475">
          <cell r="A1475" t="str">
            <v>Rakosniček</v>
          </cell>
        </row>
        <row r="1476">
          <cell r="A1476" t="str">
            <v>Rakosniček</v>
          </cell>
        </row>
        <row r="1477">
          <cell r="A1477" t="str">
            <v>Fantomas</v>
          </cell>
        </row>
        <row r="1478">
          <cell r="A1478" t="str">
            <v>Rakosniček</v>
          </cell>
        </row>
        <row r="1479">
          <cell r="A1479" t="str">
            <v>Fantomas</v>
          </cell>
        </row>
        <row r="1480">
          <cell r="A1480" t="str">
            <v>Fantomas</v>
          </cell>
        </row>
        <row r="1481">
          <cell r="A1481" t="str">
            <v>Fantomas</v>
          </cell>
        </row>
        <row r="1482">
          <cell r="A1482" t="str">
            <v>Pavel</v>
          </cell>
        </row>
        <row r="1483">
          <cell r="A1483" t="str">
            <v>Monika</v>
          </cell>
        </row>
        <row r="1484">
          <cell r="A1484" t="str">
            <v>Pavel</v>
          </cell>
        </row>
        <row r="1485">
          <cell r="A1485" t="str">
            <v>Fantomas</v>
          </cell>
        </row>
        <row r="1486">
          <cell r="A1486" t="str">
            <v>Rakosniček</v>
          </cell>
        </row>
        <row r="1487">
          <cell r="A1487" t="str">
            <v>Monika</v>
          </cell>
        </row>
        <row r="1488">
          <cell r="A1488" t="str">
            <v>Krakonoš</v>
          </cell>
        </row>
        <row r="1489">
          <cell r="A1489" t="str">
            <v>Pavel</v>
          </cell>
        </row>
        <row r="1490">
          <cell r="A1490" t="str">
            <v>Rakosniček</v>
          </cell>
        </row>
        <row r="1491">
          <cell r="A1491" t="str">
            <v>Krakonoš</v>
          </cell>
        </row>
        <row r="1492">
          <cell r="A1492" t="str">
            <v>Fantomas</v>
          </cell>
        </row>
        <row r="1493">
          <cell r="A1493" t="str">
            <v>Fantomas</v>
          </cell>
        </row>
        <row r="1494">
          <cell r="A1494" t="str">
            <v>Krakonoš</v>
          </cell>
        </row>
        <row r="1495">
          <cell r="A1495" t="str">
            <v>Monika</v>
          </cell>
        </row>
        <row r="1496">
          <cell r="A1496" t="str">
            <v>Krakonoš</v>
          </cell>
        </row>
        <row r="1497">
          <cell r="A1497" t="str">
            <v>Pavel</v>
          </cell>
        </row>
        <row r="1498">
          <cell r="A1498" t="str">
            <v>Rakosniček</v>
          </cell>
        </row>
        <row r="1499">
          <cell r="A1499" t="str">
            <v>Fantomas</v>
          </cell>
        </row>
        <row r="1500">
          <cell r="A1500" t="str">
            <v>Rakosniček</v>
          </cell>
        </row>
        <row r="1501">
          <cell r="A1501" t="str">
            <v>Fantomas</v>
          </cell>
        </row>
        <row r="1502">
          <cell r="A1502" t="str">
            <v>Fantomas</v>
          </cell>
        </row>
        <row r="1503">
          <cell r="A1503" t="str">
            <v>Krakonoš</v>
          </cell>
        </row>
        <row r="1504">
          <cell r="A1504" t="str">
            <v>Rakosniček</v>
          </cell>
        </row>
        <row r="1505">
          <cell r="A1505" t="str">
            <v>Rakosniček</v>
          </cell>
        </row>
        <row r="1506">
          <cell r="A1506" t="str">
            <v>Rakosniček</v>
          </cell>
        </row>
        <row r="1507">
          <cell r="A1507" t="str">
            <v>Rakosniček</v>
          </cell>
        </row>
        <row r="1508">
          <cell r="A1508" t="str">
            <v>Pavel</v>
          </cell>
        </row>
        <row r="1509">
          <cell r="A1509" t="str">
            <v>Fantomas</v>
          </cell>
        </row>
        <row r="1510">
          <cell r="A1510" t="str">
            <v>Pavel</v>
          </cell>
        </row>
        <row r="1511">
          <cell r="A1511" t="str">
            <v>Monika</v>
          </cell>
        </row>
        <row r="1512">
          <cell r="A1512" t="str">
            <v>Monika</v>
          </cell>
        </row>
        <row r="1513">
          <cell r="A1513" t="str">
            <v>Fantomas</v>
          </cell>
        </row>
        <row r="1514">
          <cell r="A1514" t="str">
            <v>Monika</v>
          </cell>
        </row>
        <row r="1515">
          <cell r="A1515" t="str">
            <v>Krakonoš</v>
          </cell>
        </row>
        <row r="1516">
          <cell r="A1516" t="str">
            <v>Monika</v>
          </cell>
        </row>
        <row r="1517">
          <cell r="A1517" t="str">
            <v>Krakonoš</v>
          </cell>
        </row>
        <row r="1518">
          <cell r="A1518" t="str">
            <v>Monika</v>
          </cell>
        </row>
        <row r="1519">
          <cell r="A1519" t="str">
            <v>Pavel</v>
          </cell>
        </row>
        <row r="1520">
          <cell r="A1520" t="str">
            <v>Rakosniček</v>
          </cell>
        </row>
        <row r="1521">
          <cell r="A1521" t="str">
            <v>Monika</v>
          </cell>
        </row>
        <row r="1522">
          <cell r="A1522" t="str">
            <v>Pavel</v>
          </cell>
        </row>
        <row r="1523">
          <cell r="A1523" t="str">
            <v>Fantomas</v>
          </cell>
        </row>
        <row r="1524">
          <cell r="A1524" t="str">
            <v>Krakonoš</v>
          </cell>
        </row>
        <row r="1525">
          <cell r="A1525" t="str">
            <v>Pavel</v>
          </cell>
        </row>
        <row r="1526">
          <cell r="A1526" t="str">
            <v>Krakonoš</v>
          </cell>
        </row>
        <row r="1527">
          <cell r="A1527" t="str">
            <v>Fantomas</v>
          </cell>
        </row>
        <row r="1528">
          <cell r="A1528" t="str">
            <v>Pavel</v>
          </cell>
        </row>
        <row r="1529">
          <cell r="A1529" t="str">
            <v>Rakosniček</v>
          </cell>
        </row>
        <row r="1530">
          <cell r="A1530" t="str">
            <v>Krakonoš</v>
          </cell>
        </row>
        <row r="1531">
          <cell r="A1531" t="str">
            <v>Rakosniček</v>
          </cell>
        </row>
        <row r="1532">
          <cell r="A1532" t="str">
            <v>Monika</v>
          </cell>
        </row>
        <row r="1533">
          <cell r="A1533" t="str">
            <v>Monika</v>
          </cell>
        </row>
        <row r="1534">
          <cell r="A1534" t="str">
            <v>Fantomas</v>
          </cell>
        </row>
        <row r="1535">
          <cell r="A1535" t="str">
            <v>Rakosniček</v>
          </cell>
        </row>
        <row r="1536">
          <cell r="A1536" t="str">
            <v>Monika</v>
          </cell>
        </row>
        <row r="1537">
          <cell r="A1537" t="str">
            <v>Rakosniček</v>
          </cell>
        </row>
        <row r="1538">
          <cell r="A1538" t="str">
            <v>Krakonoš</v>
          </cell>
        </row>
        <row r="1539">
          <cell r="A1539" t="str">
            <v>Krakonoš</v>
          </cell>
        </row>
        <row r="1540">
          <cell r="A1540" t="str">
            <v>Rakosniček</v>
          </cell>
        </row>
        <row r="1541">
          <cell r="A1541" t="str">
            <v>Krakonoš</v>
          </cell>
        </row>
        <row r="1542">
          <cell r="A1542" t="str">
            <v>Rakosniček</v>
          </cell>
        </row>
        <row r="1543">
          <cell r="A1543" t="str">
            <v>Monika</v>
          </cell>
        </row>
        <row r="1544">
          <cell r="A1544" t="str">
            <v>Krakonoš</v>
          </cell>
        </row>
        <row r="1545">
          <cell r="A1545" t="str">
            <v>Krakonoš</v>
          </cell>
        </row>
        <row r="1546">
          <cell r="A1546" t="str">
            <v>Pavel</v>
          </cell>
        </row>
        <row r="1547">
          <cell r="A1547" t="str">
            <v>Rakosniček</v>
          </cell>
        </row>
        <row r="1548">
          <cell r="A1548" t="str">
            <v>Fantomas</v>
          </cell>
        </row>
        <row r="1549">
          <cell r="A1549" t="str">
            <v>Monika</v>
          </cell>
        </row>
        <row r="1550">
          <cell r="A1550" t="str">
            <v>Fantomas</v>
          </cell>
        </row>
        <row r="1551">
          <cell r="A1551" t="str">
            <v>Pavel</v>
          </cell>
        </row>
        <row r="1552">
          <cell r="A1552" t="str">
            <v>Rakosniček</v>
          </cell>
        </row>
        <row r="1553">
          <cell r="A1553" t="str">
            <v>Fantomas</v>
          </cell>
        </row>
        <row r="1554">
          <cell r="A1554" t="str">
            <v>Monika</v>
          </cell>
        </row>
        <row r="1555">
          <cell r="A1555" t="str">
            <v>Rakosniček</v>
          </cell>
        </row>
        <row r="1556">
          <cell r="A1556" t="str">
            <v>Rakosniček</v>
          </cell>
        </row>
        <row r="1557">
          <cell r="A1557" t="str">
            <v>Rakosniček</v>
          </cell>
        </row>
        <row r="1558">
          <cell r="A1558" t="str">
            <v>Krakonoš</v>
          </cell>
        </row>
        <row r="1559">
          <cell r="A1559" t="str">
            <v>Krakonoš</v>
          </cell>
        </row>
        <row r="1560">
          <cell r="A1560" t="str">
            <v>Krakonoš</v>
          </cell>
        </row>
        <row r="1561">
          <cell r="A1561" t="str">
            <v>Monika</v>
          </cell>
        </row>
        <row r="1562">
          <cell r="A1562" t="str">
            <v>Monika</v>
          </cell>
        </row>
        <row r="1563">
          <cell r="A1563" t="str">
            <v>Monika</v>
          </cell>
        </row>
        <row r="1564">
          <cell r="A1564" t="str">
            <v>Krakonoš</v>
          </cell>
        </row>
        <row r="1565">
          <cell r="A1565" t="str">
            <v>Fantomas</v>
          </cell>
        </row>
        <row r="1566">
          <cell r="A1566" t="str">
            <v>Monika</v>
          </cell>
        </row>
        <row r="1567">
          <cell r="A1567" t="str">
            <v>Rakosniček</v>
          </cell>
        </row>
        <row r="1568">
          <cell r="A1568" t="str">
            <v>Fantomas</v>
          </cell>
        </row>
        <row r="1569">
          <cell r="A1569" t="str">
            <v>Pavel</v>
          </cell>
        </row>
        <row r="1570">
          <cell r="A1570" t="str">
            <v>Fantomas</v>
          </cell>
        </row>
        <row r="1571">
          <cell r="A1571" t="str">
            <v>Monika</v>
          </cell>
        </row>
        <row r="1572">
          <cell r="A1572" t="str">
            <v>Krakonoš</v>
          </cell>
        </row>
        <row r="1573">
          <cell r="A1573" t="str">
            <v>Pavel</v>
          </cell>
        </row>
        <row r="1574">
          <cell r="A1574" t="str">
            <v>Krakonoš</v>
          </cell>
        </row>
        <row r="1575">
          <cell r="A1575" t="str">
            <v>Pavel</v>
          </cell>
        </row>
        <row r="1576">
          <cell r="A1576" t="str">
            <v>Monika</v>
          </cell>
        </row>
        <row r="1577">
          <cell r="A1577" t="str">
            <v>Krakonoš</v>
          </cell>
        </row>
        <row r="1578">
          <cell r="A1578" t="str">
            <v>Pavel</v>
          </cell>
        </row>
        <row r="1579">
          <cell r="A1579" t="str">
            <v>Rakosniček</v>
          </cell>
        </row>
        <row r="1580">
          <cell r="A1580" t="str">
            <v>Rakosniček</v>
          </cell>
        </row>
        <row r="1581">
          <cell r="A1581" t="str">
            <v>Pavel</v>
          </cell>
        </row>
        <row r="1582">
          <cell r="A1582" t="str">
            <v>Rakosniček</v>
          </cell>
        </row>
        <row r="1583">
          <cell r="A1583" t="str">
            <v>Rakosniček</v>
          </cell>
        </row>
        <row r="1584">
          <cell r="A1584" t="str">
            <v>Krakonoš</v>
          </cell>
        </row>
        <row r="1585">
          <cell r="A1585" t="str">
            <v>Fantomas</v>
          </cell>
        </row>
        <row r="1586">
          <cell r="A1586" t="str">
            <v>Monika</v>
          </cell>
        </row>
        <row r="1587">
          <cell r="A1587" t="str">
            <v>Krakonoš</v>
          </cell>
        </row>
        <row r="1588">
          <cell r="A1588" t="str">
            <v>Rakosniček</v>
          </cell>
        </row>
        <row r="1589">
          <cell r="A1589" t="str">
            <v>Fantomas</v>
          </cell>
        </row>
        <row r="1590">
          <cell r="A1590" t="str">
            <v>Rakosniček</v>
          </cell>
        </row>
        <row r="1591">
          <cell r="A1591" t="str">
            <v>Krakonoš</v>
          </cell>
        </row>
        <row r="1592">
          <cell r="A1592" t="str">
            <v>Krakonoš</v>
          </cell>
        </row>
        <row r="1593">
          <cell r="A1593" t="str">
            <v>Pavel</v>
          </cell>
        </row>
        <row r="1594">
          <cell r="A1594" t="str">
            <v>Krakonoš</v>
          </cell>
        </row>
        <row r="1595">
          <cell r="A1595" t="str">
            <v>Monika</v>
          </cell>
        </row>
        <row r="1596">
          <cell r="A1596" t="str">
            <v>Fantomas</v>
          </cell>
        </row>
        <row r="1597">
          <cell r="A1597" t="str">
            <v>Rakosniček</v>
          </cell>
        </row>
        <row r="1598">
          <cell r="A1598" t="str">
            <v>Krakonoš</v>
          </cell>
        </row>
        <row r="1599">
          <cell r="A1599" t="str">
            <v>Rakosniček</v>
          </cell>
        </row>
        <row r="1600">
          <cell r="A1600" t="str">
            <v>Pavel</v>
          </cell>
        </row>
        <row r="1601">
          <cell r="A1601" t="str">
            <v>Pavel</v>
          </cell>
        </row>
        <row r="1602">
          <cell r="A1602" t="str">
            <v>Fantomas</v>
          </cell>
        </row>
        <row r="1603">
          <cell r="A1603" t="str">
            <v>Fantomas</v>
          </cell>
        </row>
        <row r="1604">
          <cell r="A1604" t="str">
            <v>Rakosniček</v>
          </cell>
        </row>
        <row r="1605">
          <cell r="A1605" t="str">
            <v>Rakosniček</v>
          </cell>
        </row>
        <row r="1606">
          <cell r="A1606" t="str">
            <v>Fantomas</v>
          </cell>
        </row>
        <row r="1607">
          <cell r="A1607" t="str">
            <v>Rakosniček</v>
          </cell>
        </row>
        <row r="1608">
          <cell r="A1608" t="str">
            <v>Pavel</v>
          </cell>
        </row>
        <row r="1609">
          <cell r="A1609" t="str">
            <v>Pavel</v>
          </cell>
        </row>
        <row r="1610">
          <cell r="A1610" t="str">
            <v>Monika</v>
          </cell>
        </row>
        <row r="1611">
          <cell r="A1611" t="str">
            <v>Rakosniček</v>
          </cell>
        </row>
        <row r="1612">
          <cell r="A1612" t="str">
            <v>Monika</v>
          </cell>
        </row>
        <row r="1613">
          <cell r="A1613" t="str">
            <v>Krakonoš</v>
          </cell>
        </row>
        <row r="1614">
          <cell r="A1614" t="str">
            <v>Rakosniček</v>
          </cell>
        </row>
        <row r="1615">
          <cell r="A1615" t="str">
            <v>Fantomas</v>
          </cell>
        </row>
        <row r="1616">
          <cell r="A1616" t="str">
            <v>Monika</v>
          </cell>
        </row>
        <row r="1617">
          <cell r="A1617" t="str">
            <v>Rakosniček</v>
          </cell>
        </row>
        <row r="1618">
          <cell r="A1618" t="str">
            <v>Krakonoš</v>
          </cell>
        </row>
        <row r="1619">
          <cell r="A1619" t="str">
            <v>Monika</v>
          </cell>
        </row>
        <row r="1620">
          <cell r="A1620" t="str">
            <v>Rakosniček</v>
          </cell>
        </row>
        <row r="1621">
          <cell r="A1621" t="str">
            <v>Pavel</v>
          </cell>
        </row>
        <row r="1622">
          <cell r="A1622" t="str">
            <v>Monika</v>
          </cell>
        </row>
        <row r="1623">
          <cell r="A1623" t="str">
            <v>Krakonoš</v>
          </cell>
        </row>
        <row r="1624">
          <cell r="A1624" t="str">
            <v>Fantomas</v>
          </cell>
        </row>
        <row r="1625">
          <cell r="A1625" t="str">
            <v>Rakosniček</v>
          </cell>
        </row>
        <row r="1626">
          <cell r="A1626" t="str">
            <v>Rakosniček</v>
          </cell>
        </row>
        <row r="1627">
          <cell r="A1627" t="str">
            <v>Krakonoš</v>
          </cell>
        </row>
        <row r="1628">
          <cell r="A1628" t="str">
            <v>Fantomas</v>
          </cell>
        </row>
        <row r="1629">
          <cell r="A1629" t="str">
            <v>Rakosniček</v>
          </cell>
        </row>
        <row r="1630">
          <cell r="A1630" t="str">
            <v>Pavel</v>
          </cell>
        </row>
        <row r="1631">
          <cell r="A1631" t="str">
            <v>Krakonoš</v>
          </cell>
        </row>
        <row r="1632">
          <cell r="A1632" t="str">
            <v>Krakonoš</v>
          </cell>
        </row>
        <row r="1633">
          <cell r="A1633" t="str">
            <v>Krakonoš</v>
          </cell>
        </row>
        <row r="1634">
          <cell r="A1634" t="str">
            <v>Rakosniček</v>
          </cell>
        </row>
        <row r="1635">
          <cell r="A1635" t="str">
            <v>Rakosniček</v>
          </cell>
        </row>
        <row r="1636">
          <cell r="A1636" t="str">
            <v>Krakonoš</v>
          </cell>
        </row>
        <row r="1637">
          <cell r="A1637" t="str">
            <v>Monika</v>
          </cell>
        </row>
        <row r="1638">
          <cell r="A1638" t="str">
            <v>Rakosniček</v>
          </cell>
        </row>
        <row r="1639">
          <cell r="A1639" t="str">
            <v>Fantomas</v>
          </cell>
        </row>
        <row r="1640">
          <cell r="A1640" t="str">
            <v>Krakonoš</v>
          </cell>
        </row>
        <row r="1641">
          <cell r="A1641" t="str">
            <v>Pavel</v>
          </cell>
        </row>
        <row r="1642">
          <cell r="A1642" t="str">
            <v>Fantomas</v>
          </cell>
        </row>
        <row r="1643">
          <cell r="A1643" t="str">
            <v>Fantomas</v>
          </cell>
        </row>
        <row r="1644">
          <cell r="A1644" t="str">
            <v>Pavel</v>
          </cell>
        </row>
        <row r="1645">
          <cell r="A1645" t="str">
            <v>Krakonoš</v>
          </cell>
        </row>
        <row r="1646">
          <cell r="A1646" t="str">
            <v>Monika</v>
          </cell>
        </row>
        <row r="1647">
          <cell r="A1647" t="str">
            <v>Rakosniček</v>
          </cell>
        </row>
        <row r="1648">
          <cell r="A1648" t="str">
            <v>Krakonoš</v>
          </cell>
        </row>
        <row r="1649">
          <cell r="A1649" t="str">
            <v>Rakosniček</v>
          </cell>
        </row>
        <row r="1650">
          <cell r="A1650" t="str">
            <v>Pavel</v>
          </cell>
        </row>
        <row r="1651">
          <cell r="A1651" t="str">
            <v>Krakonoš</v>
          </cell>
        </row>
        <row r="1652">
          <cell r="A1652" t="str">
            <v>Rakosniček</v>
          </cell>
        </row>
        <row r="1653">
          <cell r="A1653" t="str">
            <v>Monika</v>
          </cell>
        </row>
        <row r="1654">
          <cell r="A1654" t="str">
            <v>Pavel</v>
          </cell>
        </row>
        <row r="1655">
          <cell r="A1655" t="str">
            <v>Monika</v>
          </cell>
        </row>
        <row r="1656">
          <cell r="A1656" t="str">
            <v>Monika</v>
          </cell>
        </row>
        <row r="1657">
          <cell r="A1657" t="str">
            <v>Monika</v>
          </cell>
        </row>
        <row r="1658">
          <cell r="A1658" t="str">
            <v>Fantomas</v>
          </cell>
        </row>
        <row r="1659">
          <cell r="A1659" t="str">
            <v>Rakosniček</v>
          </cell>
        </row>
        <row r="1660">
          <cell r="A1660" t="str">
            <v>Fantomas</v>
          </cell>
        </row>
        <row r="1661">
          <cell r="A1661" t="str">
            <v>Krakonoš</v>
          </cell>
        </row>
        <row r="1662">
          <cell r="A1662" t="str">
            <v>Monika</v>
          </cell>
        </row>
        <row r="1663">
          <cell r="A1663" t="str">
            <v>Pavel</v>
          </cell>
        </row>
        <row r="1664">
          <cell r="A1664" t="str">
            <v>Krakonoš</v>
          </cell>
        </row>
        <row r="1665">
          <cell r="A1665" t="str">
            <v>Rakosniček</v>
          </cell>
        </row>
        <row r="1666">
          <cell r="A1666" t="str">
            <v>Fantomas</v>
          </cell>
        </row>
        <row r="1667">
          <cell r="A1667" t="str">
            <v>Krakonoš</v>
          </cell>
        </row>
        <row r="1668">
          <cell r="A1668" t="str">
            <v>Monika</v>
          </cell>
        </row>
        <row r="1669">
          <cell r="A1669" t="str">
            <v>Fantomas</v>
          </cell>
        </row>
        <row r="1670">
          <cell r="A1670" t="str">
            <v>Monika</v>
          </cell>
        </row>
        <row r="1671">
          <cell r="A1671" t="str">
            <v>Rakosniček</v>
          </cell>
        </row>
        <row r="1672">
          <cell r="A1672" t="str">
            <v>Rakosniček</v>
          </cell>
        </row>
        <row r="1673">
          <cell r="A1673" t="str">
            <v>Pavel</v>
          </cell>
        </row>
        <row r="1674">
          <cell r="A1674" t="str">
            <v>Rakosniček</v>
          </cell>
        </row>
        <row r="1675">
          <cell r="A1675" t="str">
            <v>Krakonoš</v>
          </cell>
        </row>
        <row r="1676">
          <cell r="A1676" t="str">
            <v>Monika</v>
          </cell>
        </row>
        <row r="1677">
          <cell r="A1677" t="str">
            <v>Rakosniček</v>
          </cell>
        </row>
        <row r="1678">
          <cell r="A1678" t="str">
            <v>Fantomas</v>
          </cell>
        </row>
        <row r="1679">
          <cell r="A1679" t="str">
            <v>Monika</v>
          </cell>
        </row>
        <row r="1680">
          <cell r="A1680" t="str">
            <v>Fantomas</v>
          </cell>
        </row>
        <row r="1681">
          <cell r="A1681" t="str">
            <v>Monika</v>
          </cell>
        </row>
        <row r="1682">
          <cell r="A1682" t="str">
            <v>Pavel</v>
          </cell>
        </row>
        <row r="1683">
          <cell r="A1683" t="str">
            <v>Monika</v>
          </cell>
        </row>
        <row r="1684">
          <cell r="A1684" t="str">
            <v>Krakonoš</v>
          </cell>
        </row>
        <row r="1685">
          <cell r="A1685" t="str">
            <v>Krakonoš</v>
          </cell>
        </row>
        <row r="1686">
          <cell r="A1686" t="str">
            <v>Krakonoš</v>
          </cell>
        </row>
        <row r="1687">
          <cell r="A1687" t="str">
            <v>Fantomas</v>
          </cell>
        </row>
        <row r="1688">
          <cell r="A1688" t="str">
            <v>Monika</v>
          </cell>
        </row>
        <row r="1689">
          <cell r="A1689" t="str">
            <v>Krakonoš</v>
          </cell>
        </row>
        <row r="1690">
          <cell r="A1690" t="str">
            <v>Rakosniček</v>
          </cell>
        </row>
        <row r="1691">
          <cell r="A1691" t="str">
            <v>Fantomas</v>
          </cell>
        </row>
        <row r="1692">
          <cell r="A1692" t="str">
            <v>Pavel</v>
          </cell>
        </row>
        <row r="1693">
          <cell r="A1693" t="str">
            <v>Fantomas</v>
          </cell>
        </row>
        <row r="1694">
          <cell r="A1694" t="str">
            <v>Monika</v>
          </cell>
        </row>
        <row r="1695">
          <cell r="A1695" t="str">
            <v>Rakosniček</v>
          </cell>
        </row>
        <row r="1696">
          <cell r="A1696" t="str">
            <v>Rakosniček</v>
          </cell>
        </row>
        <row r="1697">
          <cell r="A1697" t="str">
            <v>Monika</v>
          </cell>
        </row>
        <row r="1698">
          <cell r="A1698" t="str">
            <v>Monika</v>
          </cell>
        </row>
        <row r="1699">
          <cell r="A1699" t="str">
            <v>Pavel</v>
          </cell>
        </row>
        <row r="1700">
          <cell r="A1700" t="str">
            <v>Krakonoš</v>
          </cell>
        </row>
        <row r="1701">
          <cell r="A1701" t="str">
            <v>Fantomas</v>
          </cell>
        </row>
        <row r="1702">
          <cell r="A1702" t="str">
            <v>Krakonoš</v>
          </cell>
        </row>
        <row r="1703">
          <cell r="A1703" t="str">
            <v>Pavel</v>
          </cell>
        </row>
        <row r="1704">
          <cell r="A1704" t="str">
            <v>Rakosniček</v>
          </cell>
        </row>
        <row r="1705">
          <cell r="A1705" t="str">
            <v>Rakosniček</v>
          </cell>
        </row>
        <row r="1706">
          <cell r="A1706" t="str">
            <v>Krakonoš</v>
          </cell>
        </row>
        <row r="1707">
          <cell r="A1707" t="str">
            <v>Pavel</v>
          </cell>
        </row>
        <row r="1708">
          <cell r="A1708" t="str">
            <v>Fantomas</v>
          </cell>
        </row>
        <row r="1709">
          <cell r="A1709" t="str">
            <v>Fantomas</v>
          </cell>
        </row>
        <row r="1710">
          <cell r="A1710" t="str">
            <v>Rakosniček</v>
          </cell>
        </row>
        <row r="1711">
          <cell r="A1711" t="str">
            <v>Pavel</v>
          </cell>
        </row>
        <row r="1712">
          <cell r="A1712" t="str">
            <v>Rakosniček</v>
          </cell>
        </row>
        <row r="1713">
          <cell r="A1713" t="str">
            <v>Rakosniček</v>
          </cell>
        </row>
        <row r="1714">
          <cell r="A1714" t="str">
            <v>Pavel</v>
          </cell>
        </row>
        <row r="1715">
          <cell r="A1715" t="str">
            <v>Rakosniček</v>
          </cell>
        </row>
        <row r="1716">
          <cell r="A1716" t="str">
            <v>Monika</v>
          </cell>
        </row>
        <row r="1717">
          <cell r="A1717" t="str">
            <v>Rakosniček</v>
          </cell>
        </row>
        <row r="1718">
          <cell r="A1718" t="str">
            <v>Pavel</v>
          </cell>
        </row>
        <row r="1719">
          <cell r="A1719" t="str">
            <v>Pavel</v>
          </cell>
        </row>
        <row r="1720">
          <cell r="A1720" t="str">
            <v>Krakonoš</v>
          </cell>
        </row>
        <row r="1721">
          <cell r="A1721" t="str">
            <v>Monika</v>
          </cell>
        </row>
        <row r="1722">
          <cell r="A1722" t="str">
            <v>Rakosniček</v>
          </cell>
        </row>
        <row r="1723">
          <cell r="A1723" t="str">
            <v>Krakonoš</v>
          </cell>
        </row>
        <row r="1724">
          <cell r="A1724" t="str">
            <v>Rakosniček</v>
          </cell>
        </row>
        <row r="1725">
          <cell r="A1725" t="str">
            <v>Monika</v>
          </cell>
        </row>
        <row r="1726">
          <cell r="A1726" t="str">
            <v>Krakonoš</v>
          </cell>
        </row>
        <row r="1727">
          <cell r="A1727" t="str">
            <v>Monika</v>
          </cell>
        </row>
        <row r="1728">
          <cell r="A1728" t="str">
            <v>Krakonoš</v>
          </cell>
        </row>
        <row r="1729">
          <cell r="A1729" t="str">
            <v>Monika</v>
          </cell>
        </row>
        <row r="1730">
          <cell r="A1730" t="str">
            <v>Rakosniček</v>
          </cell>
        </row>
        <row r="1731">
          <cell r="A1731" t="str">
            <v>Fantomas</v>
          </cell>
        </row>
        <row r="1732">
          <cell r="A1732" t="str">
            <v>Rakosniček</v>
          </cell>
        </row>
        <row r="1733">
          <cell r="A1733" t="str">
            <v>Pavel</v>
          </cell>
        </row>
        <row r="1734">
          <cell r="A1734" t="str">
            <v>Rakosniček</v>
          </cell>
        </row>
        <row r="1735">
          <cell r="A1735" t="str">
            <v>Fantomas</v>
          </cell>
        </row>
        <row r="1736">
          <cell r="A1736" t="str">
            <v>Monika</v>
          </cell>
        </row>
        <row r="1737">
          <cell r="A1737" t="str">
            <v>Rakosniček</v>
          </cell>
        </row>
        <row r="1738">
          <cell r="A1738" t="str">
            <v>Rakosniček</v>
          </cell>
        </row>
        <row r="1739">
          <cell r="A1739" t="str">
            <v>Fantomas</v>
          </cell>
        </row>
        <row r="1740">
          <cell r="A1740" t="str">
            <v>Krakonoš</v>
          </cell>
        </row>
        <row r="1741">
          <cell r="A1741" t="str">
            <v>Monika</v>
          </cell>
        </row>
        <row r="1742">
          <cell r="A1742" t="str">
            <v>Monika</v>
          </cell>
        </row>
        <row r="1743">
          <cell r="A1743" t="str">
            <v>Pavel</v>
          </cell>
        </row>
        <row r="1744">
          <cell r="A1744" t="str">
            <v>Pavel</v>
          </cell>
        </row>
        <row r="1745">
          <cell r="A1745" t="str">
            <v>Fantomas</v>
          </cell>
        </row>
        <row r="1746">
          <cell r="A1746" t="str">
            <v>Krakonoš</v>
          </cell>
        </row>
        <row r="1747">
          <cell r="A1747" t="str">
            <v>Krakonoš</v>
          </cell>
        </row>
        <row r="1748">
          <cell r="A1748" t="str">
            <v>Pavel</v>
          </cell>
        </row>
        <row r="1749">
          <cell r="A1749" t="str">
            <v>Krakonoš</v>
          </cell>
        </row>
        <row r="1750">
          <cell r="A1750" t="str">
            <v>Krakonoš</v>
          </cell>
        </row>
        <row r="1751">
          <cell r="A1751" t="str">
            <v>Rakosniček</v>
          </cell>
        </row>
        <row r="1752">
          <cell r="A1752" t="str">
            <v>Krakonoš</v>
          </cell>
        </row>
        <row r="1753">
          <cell r="A1753" t="str">
            <v>Monika</v>
          </cell>
        </row>
        <row r="1754">
          <cell r="A1754" t="str">
            <v>Pavel</v>
          </cell>
        </row>
        <row r="1755">
          <cell r="A1755" t="str">
            <v>Pavel</v>
          </cell>
        </row>
        <row r="1756">
          <cell r="A1756" t="str">
            <v>Monika</v>
          </cell>
        </row>
        <row r="1757">
          <cell r="A1757" t="str">
            <v>Fantomas</v>
          </cell>
        </row>
        <row r="1758">
          <cell r="A1758" t="str">
            <v>Rakosniček</v>
          </cell>
        </row>
        <row r="1759">
          <cell r="A1759" t="str">
            <v>Monika</v>
          </cell>
        </row>
        <row r="1760">
          <cell r="A1760" t="str">
            <v>Fantomas</v>
          </cell>
        </row>
        <row r="1761">
          <cell r="A1761" t="str">
            <v>Rakosniček</v>
          </cell>
        </row>
        <row r="1762">
          <cell r="A1762" t="str">
            <v>Rakosniček</v>
          </cell>
        </row>
        <row r="1763">
          <cell r="A1763" t="str">
            <v>Rakosniček</v>
          </cell>
        </row>
        <row r="1764">
          <cell r="A1764" t="str">
            <v>Fantomas</v>
          </cell>
        </row>
        <row r="1765">
          <cell r="A1765" t="str">
            <v>Pavel</v>
          </cell>
        </row>
        <row r="1766">
          <cell r="A1766" t="str">
            <v>Monika</v>
          </cell>
        </row>
        <row r="1767">
          <cell r="A1767" t="str">
            <v>Fantomas</v>
          </cell>
        </row>
        <row r="1768">
          <cell r="A1768" t="str">
            <v>Krakonoš</v>
          </cell>
        </row>
        <row r="1769">
          <cell r="A1769" t="str">
            <v>Pavel</v>
          </cell>
        </row>
        <row r="1770">
          <cell r="A1770" t="str">
            <v>Krakonoš</v>
          </cell>
        </row>
        <row r="1771">
          <cell r="A1771" t="str">
            <v>Rakosniček</v>
          </cell>
        </row>
        <row r="1772">
          <cell r="A1772" t="str">
            <v>Pavel</v>
          </cell>
        </row>
        <row r="1773">
          <cell r="A1773" t="str">
            <v>Pavel</v>
          </cell>
        </row>
        <row r="1774">
          <cell r="A1774" t="str">
            <v>Monika</v>
          </cell>
        </row>
        <row r="1775">
          <cell r="A1775" t="str">
            <v>Monika</v>
          </cell>
        </row>
        <row r="1776">
          <cell r="A1776" t="str">
            <v>Fantomas</v>
          </cell>
        </row>
        <row r="1777">
          <cell r="A1777" t="str">
            <v>Rakosniček</v>
          </cell>
        </row>
        <row r="1778">
          <cell r="A1778" t="str">
            <v>Pavel</v>
          </cell>
        </row>
        <row r="1779">
          <cell r="A1779" t="str">
            <v>Rakosniček</v>
          </cell>
        </row>
        <row r="1780">
          <cell r="A1780" t="str">
            <v>Fantomas</v>
          </cell>
        </row>
        <row r="1781">
          <cell r="A1781" t="str">
            <v>Rakosniček</v>
          </cell>
        </row>
        <row r="1782">
          <cell r="A1782" t="str">
            <v>Pavel</v>
          </cell>
        </row>
        <row r="1783">
          <cell r="A1783" t="str">
            <v>Monika</v>
          </cell>
        </row>
        <row r="1784">
          <cell r="A1784" t="str">
            <v>Pavel</v>
          </cell>
        </row>
        <row r="1785">
          <cell r="A1785" t="str">
            <v>Fantomas</v>
          </cell>
        </row>
        <row r="1786">
          <cell r="A1786" t="str">
            <v>Krakonoš</v>
          </cell>
        </row>
        <row r="1787">
          <cell r="A1787" t="str">
            <v>Rakosniček</v>
          </cell>
        </row>
        <row r="1788">
          <cell r="A1788" t="str">
            <v>Fantomas</v>
          </cell>
        </row>
        <row r="1789">
          <cell r="A1789" t="str">
            <v>Monika</v>
          </cell>
        </row>
        <row r="1790">
          <cell r="A1790" t="str">
            <v>Fantomas</v>
          </cell>
        </row>
        <row r="1791">
          <cell r="A1791" t="str">
            <v>Fantomas</v>
          </cell>
        </row>
        <row r="1792">
          <cell r="A1792" t="str">
            <v>Fantomas</v>
          </cell>
        </row>
        <row r="1793">
          <cell r="A1793" t="str">
            <v>Rakosniček</v>
          </cell>
        </row>
        <row r="1794">
          <cell r="A1794" t="str">
            <v>Rakosniček</v>
          </cell>
        </row>
        <row r="1795">
          <cell r="A1795" t="str">
            <v>Fantomas</v>
          </cell>
        </row>
        <row r="1796">
          <cell r="A1796" t="str">
            <v>Krakonoš</v>
          </cell>
        </row>
        <row r="1797">
          <cell r="A1797" t="str">
            <v>Fantomas</v>
          </cell>
        </row>
        <row r="1798">
          <cell r="A1798" t="str">
            <v>Monika</v>
          </cell>
        </row>
        <row r="1799">
          <cell r="A1799" t="str">
            <v>Krakonoš</v>
          </cell>
        </row>
        <row r="1800">
          <cell r="A1800" t="str">
            <v>Fantomas</v>
          </cell>
        </row>
        <row r="1801">
          <cell r="A1801" t="str">
            <v>Pavel</v>
          </cell>
        </row>
        <row r="1802">
          <cell r="A1802" t="str">
            <v>Rakosniček</v>
          </cell>
        </row>
        <row r="1803">
          <cell r="A1803" t="str">
            <v>Rakosniček</v>
          </cell>
        </row>
        <row r="1804">
          <cell r="A1804" t="str">
            <v>Rakosniček</v>
          </cell>
        </row>
        <row r="1805">
          <cell r="A1805" t="str">
            <v>Fantomas</v>
          </cell>
        </row>
        <row r="1806">
          <cell r="A1806" t="str">
            <v>Pavel</v>
          </cell>
        </row>
        <row r="1807">
          <cell r="A1807" t="str">
            <v>Krakonoš</v>
          </cell>
        </row>
        <row r="1808">
          <cell r="A1808" t="str">
            <v>Monika</v>
          </cell>
        </row>
        <row r="1809">
          <cell r="A1809" t="str">
            <v>Fantomas</v>
          </cell>
        </row>
        <row r="1810">
          <cell r="A1810" t="str">
            <v>Pavel</v>
          </cell>
        </row>
        <row r="1811">
          <cell r="A1811" t="str">
            <v>Rakosniček</v>
          </cell>
        </row>
        <row r="1812">
          <cell r="A1812" t="str">
            <v>Fantomas</v>
          </cell>
        </row>
        <row r="1813">
          <cell r="A1813" t="str">
            <v>Pavel</v>
          </cell>
        </row>
        <row r="1814">
          <cell r="A1814" t="str">
            <v>Rakosniček</v>
          </cell>
        </row>
        <row r="1815">
          <cell r="A1815" t="str">
            <v>Pavel</v>
          </cell>
        </row>
        <row r="1816">
          <cell r="A1816" t="str">
            <v>Monika</v>
          </cell>
        </row>
        <row r="1817">
          <cell r="A1817" t="str">
            <v>Pavel</v>
          </cell>
        </row>
        <row r="1818">
          <cell r="A1818" t="str">
            <v>Krakonoš</v>
          </cell>
        </row>
        <row r="1819">
          <cell r="A1819" t="str">
            <v>Krakonoš</v>
          </cell>
        </row>
        <row r="1820">
          <cell r="A1820" t="str">
            <v>Fantomas</v>
          </cell>
        </row>
        <row r="1821">
          <cell r="A1821" t="str">
            <v>Fantomas</v>
          </cell>
        </row>
        <row r="1822">
          <cell r="A1822" t="str">
            <v>Pavel</v>
          </cell>
        </row>
        <row r="1823">
          <cell r="A1823" t="str">
            <v>Krakonoš</v>
          </cell>
        </row>
        <row r="1824">
          <cell r="A1824" t="str">
            <v>Pavel</v>
          </cell>
        </row>
        <row r="1825">
          <cell r="A1825" t="str">
            <v>Monika</v>
          </cell>
        </row>
        <row r="1826">
          <cell r="A1826" t="str">
            <v>Monika</v>
          </cell>
        </row>
        <row r="1827">
          <cell r="A1827" t="str">
            <v>Rakosniček</v>
          </cell>
        </row>
        <row r="1828">
          <cell r="A1828" t="str">
            <v>Rakosniček</v>
          </cell>
        </row>
        <row r="1829">
          <cell r="A1829" t="str">
            <v>Pavel</v>
          </cell>
        </row>
        <row r="1830">
          <cell r="A1830" t="str">
            <v>Rakosniček</v>
          </cell>
        </row>
        <row r="1831">
          <cell r="A1831" t="str">
            <v>Rakosniček</v>
          </cell>
        </row>
        <row r="1832">
          <cell r="A1832" t="str">
            <v>Rakosniček</v>
          </cell>
        </row>
        <row r="1833">
          <cell r="A1833" t="str">
            <v>Pavel</v>
          </cell>
        </row>
        <row r="1834">
          <cell r="A1834" t="str">
            <v>Krakonoš</v>
          </cell>
        </row>
        <row r="1835">
          <cell r="A1835" t="str">
            <v>Krakonoš</v>
          </cell>
        </row>
        <row r="1836">
          <cell r="A1836" t="str">
            <v>Monika</v>
          </cell>
        </row>
        <row r="1837">
          <cell r="A1837" t="str">
            <v>Fantomas</v>
          </cell>
        </row>
        <row r="1838">
          <cell r="A1838" t="str">
            <v>Rakosniček</v>
          </cell>
        </row>
        <row r="1839">
          <cell r="A1839" t="str">
            <v>Monika</v>
          </cell>
        </row>
        <row r="1840">
          <cell r="A1840" t="str">
            <v>Krakonoš</v>
          </cell>
        </row>
        <row r="1841">
          <cell r="A1841" t="str">
            <v>Pavel</v>
          </cell>
        </row>
        <row r="1842">
          <cell r="A1842" t="str">
            <v>Krakonoš</v>
          </cell>
        </row>
        <row r="1843">
          <cell r="A1843" t="str">
            <v>Rakosniček</v>
          </cell>
        </row>
        <row r="1844">
          <cell r="A1844" t="str">
            <v>Rakosniček</v>
          </cell>
        </row>
        <row r="1845">
          <cell r="A1845" t="str">
            <v>Krakonoš</v>
          </cell>
        </row>
        <row r="1846">
          <cell r="A1846" t="str">
            <v>Pavel</v>
          </cell>
        </row>
        <row r="1847">
          <cell r="A1847" t="str">
            <v>Rakosniček</v>
          </cell>
        </row>
        <row r="1848">
          <cell r="A1848" t="str">
            <v>Rakosniček</v>
          </cell>
        </row>
        <row r="1849">
          <cell r="A1849" t="str">
            <v>Pavel</v>
          </cell>
        </row>
        <row r="1850">
          <cell r="A1850" t="str">
            <v>Rakosniček</v>
          </cell>
        </row>
        <row r="1851">
          <cell r="A1851" t="str">
            <v>Fantomas</v>
          </cell>
        </row>
        <row r="1852">
          <cell r="A1852" t="str">
            <v>Krakonoš</v>
          </cell>
        </row>
        <row r="1853">
          <cell r="A1853" t="str">
            <v>Pavel</v>
          </cell>
        </row>
        <row r="1854">
          <cell r="A1854" t="str">
            <v>Krakonoš</v>
          </cell>
        </row>
        <row r="1855">
          <cell r="A1855" t="str">
            <v>Krakonoš</v>
          </cell>
        </row>
        <row r="1856">
          <cell r="A1856" t="str">
            <v>Monika</v>
          </cell>
        </row>
        <row r="1857">
          <cell r="A1857" t="str">
            <v>Rakosniček</v>
          </cell>
        </row>
        <row r="1858">
          <cell r="A1858" t="str">
            <v>Pavel</v>
          </cell>
        </row>
        <row r="1859">
          <cell r="A1859" t="str">
            <v>Fantomas</v>
          </cell>
        </row>
        <row r="1860">
          <cell r="A1860" t="str">
            <v>Monika</v>
          </cell>
        </row>
        <row r="1861">
          <cell r="A1861" t="str">
            <v>Pavel</v>
          </cell>
        </row>
        <row r="1862">
          <cell r="A1862" t="str">
            <v>Pavel</v>
          </cell>
        </row>
        <row r="1863">
          <cell r="A1863" t="str">
            <v>Rakosniček</v>
          </cell>
        </row>
        <row r="1864">
          <cell r="A1864" t="str">
            <v>Monika</v>
          </cell>
        </row>
        <row r="1865">
          <cell r="A1865" t="str">
            <v>Pavel</v>
          </cell>
        </row>
        <row r="1866">
          <cell r="A1866" t="str">
            <v>Fantomas</v>
          </cell>
        </row>
        <row r="1867">
          <cell r="A1867" t="str">
            <v>Rakosniček</v>
          </cell>
        </row>
        <row r="1868">
          <cell r="A1868" t="str">
            <v>Fantomas</v>
          </cell>
        </row>
        <row r="1869">
          <cell r="A1869" t="str">
            <v>Monika</v>
          </cell>
        </row>
        <row r="1870">
          <cell r="A1870" t="str">
            <v>Krakonoš</v>
          </cell>
        </row>
        <row r="1871">
          <cell r="A1871" t="str">
            <v>Krakonoš</v>
          </cell>
        </row>
        <row r="1872">
          <cell r="A1872" t="str">
            <v>Rakosniček</v>
          </cell>
        </row>
        <row r="1873">
          <cell r="A1873" t="str">
            <v>Krakonoš</v>
          </cell>
        </row>
        <row r="1874">
          <cell r="A1874" t="str">
            <v>Rakosniček</v>
          </cell>
        </row>
        <row r="1875">
          <cell r="A1875" t="str">
            <v>Monika</v>
          </cell>
        </row>
        <row r="1876">
          <cell r="A1876" t="str">
            <v>Monika</v>
          </cell>
        </row>
        <row r="1877">
          <cell r="A1877" t="str">
            <v>Rakosniček</v>
          </cell>
        </row>
        <row r="1878">
          <cell r="A1878" t="str">
            <v>Rakosniček</v>
          </cell>
        </row>
        <row r="1879">
          <cell r="A1879" t="str">
            <v>Krakonoš</v>
          </cell>
        </row>
        <row r="1880">
          <cell r="A1880" t="str">
            <v>Krakonoš</v>
          </cell>
        </row>
        <row r="1881">
          <cell r="A1881" t="str">
            <v>Rakosniček</v>
          </cell>
        </row>
        <row r="1882">
          <cell r="A1882" t="str">
            <v>Krakonoš</v>
          </cell>
        </row>
        <row r="1883">
          <cell r="A1883" t="str">
            <v>Pavel</v>
          </cell>
        </row>
        <row r="1884">
          <cell r="A1884" t="str">
            <v>Fantomas</v>
          </cell>
        </row>
        <row r="1885">
          <cell r="A1885" t="str">
            <v>Krakonoš</v>
          </cell>
        </row>
        <row r="1886">
          <cell r="A1886" t="str">
            <v>Pavel</v>
          </cell>
        </row>
        <row r="1887">
          <cell r="A1887" t="str">
            <v>Fantomas</v>
          </cell>
        </row>
        <row r="1888">
          <cell r="A1888" t="str">
            <v>Fantomas</v>
          </cell>
        </row>
        <row r="1889">
          <cell r="A1889" t="str">
            <v>Fantomas</v>
          </cell>
        </row>
        <row r="1890">
          <cell r="A1890" t="str">
            <v>Fantomas</v>
          </cell>
        </row>
        <row r="1891">
          <cell r="A1891" t="str">
            <v>Rakosniček</v>
          </cell>
        </row>
        <row r="1892">
          <cell r="A1892" t="str">
            <v>Krakonoš</v>
          </cell>
        </row>
        <row r="1893">
          <cell r="A1893" t="str">
            <v>Monika</v>
          </cell>
        </row>
        <row r="1894">
          <cell r="A1894" t="str">
            <v>Rakosniček</v>
          </cell>
        </row>
        <row r="1895">
          <cell r="A1895" t="str">
            <v>Rakosniček</v>
          </cell>
        </row>
        <row r="1896">
          <cell r="A1896" t="str">
            <v>Fantomas</v>
          </cell>
        </row>
        <row r="1897">
          <cell r="A1897" t="str">
            <v>Fantomas</v>
          </cell>
        </row>
        <row r="1898">
          <cell r="A1898" t="str">
            <v>Pavel</v>
          </cell>
        </row>
        <row r="1899">
          <cell r="A1899" t="str">
            <v>Monika</v>
          </cell>
        </row>
        <row r="1900">
          <cell r="A1900" t="str">
            <v>Rakosniček</v>
          </cell>
        </row>
        <row r="1901">
          <cell r="A1901" t="str">
            <v>Rakosniček</v>
          </cell>
        </row>
        <row r="1902">
          <cell r="A1902" t="str">
            <v>Monika</v>
          </cell>
        </row>
        <row r="1903">
          <cell r="A1903" t="str">
            <v>Krakonoš</v>
          </cell>
        </row>
        <row r="1904">
          <cell r="A1904" t="str">
            <v>Rakosniček</v>
          </cell>
        </row>
        <row r="1905">
          <cell r="A1905" t="str">
            <v>Krakonoš</v>
          </cell>
        </row>
        <row r="1906">
          <cell r="A1906" t="str">
            <v>Monika</v>
          </cell>
        </row>
        <row r="1907">
          <cell r="A1907" t="str">
            <v>Rakosniček</v>
          </cell>
        </row>
        <row r="1908">
          <cell r="A1908" t="str">
            <v>Fantomas</v>
          </cell>
        </row>
        <row r="1909">
          <cell r="A1909" t="str">
            <v>Rakosniček</v>
          </cell>
        </row>
        <row r="1910">
          <cell r="A1910" t="str">
            <v>Krakonoš</v>
          </cell>
        </row>
        <row r="1911">
          <cell r="A1911" t="str">
            <v>Pavel</v>
          </cell>
        </row>
        <row r="1912">
          <cell r="A1912" t="str">
            <v>Monika</v>
          </cell>
        </row>
        <row r="1913">
          <cell r="A1913" t="str">
            <v>Krakonoš</v>
          </cell>
        </row>
        <row r="1914">
          <cell r="A1914" t="str">
            <v>Pavel</v>
          </cell>
        </row>
        <row r="1915">
          <cell r="A1915" t="str">
            <v>Pavel</v>
          </cell>
        </row>
        <row r="1916">
          <cell r="A1916" t="str">
            <v>Krakonoš</v>
          </cell>
        </row>
        <row r="1917">
          <cell r="A1917" t="str">
            <v>Rakosniček</v>
          </cell>
        </row>
        <row r="1918">
          <cell r="A1918" t="str">
            <v>Pavel</v>
          </cell>
        </row>
        <row r="1919">
          <cell r="A1919" t="str">
            <v>Rakosniček</v>
          </cell>
        </row>
        <row r="1920">
          <cell r="A1920" t="str">
            <v>Krakonoš</v>
          </cell>
        </row>
        <row r="1921">
          <cell r="A1921" t="str">
            <v>Krakonoš</v>
          </cell>
        </row>
        <row r="1922">
          <cell r="A1922" t="str">
            <v>Krakonoš</v>
          </cell>
        </row>
        <row r="1923">
          <cell r="A1923" t="str">
            <v>Krakonoš</v>
          </cell>
        </row>
        <row r="1924">
          <cell r="A1924" t="str">
            <v>Pavel</v>
          </cell>
        </row>
        <row r="1925">
          <cell r="A1925" t="str">
            <v>Krakonoš</v>
          </cell>
        </row>
        <row r="1926">
          <cell r="A1926" t="str">
            <v>Krakonoš</v>
          </cell>
        </row>
        <row r="1927">
          <cell r="A1927" t="str">
            <v>Pavel</v>
          </cell>
        </row>
        <row r="1928">
          <cell r="A1928" t="str">
            <v>Rakosniček</v>
          </cell>
        </row>
        <row r="1929">
          <cell r="A1929" t="str">
            <v>Krakonoš</v>
          </cell>
        </row>
        <row r="1930">
          <cell r="A1930" t="str">
            <v>Krakonoš</v>
          </cell>
        </row>
        <row r="1931">
          <cell r="A1931" t="str">
            <v>Pavel</v>
          </cell>
        </row>
        <row r="1932">
          <cell r="A1932" t="str">
            <v>Monika</v>
          </cell>
        </row>
        <row r="1933">
          <cell r="A1933" t="str">
            <v>Fantomas</v>
          </cell>
        </row>
        <row r="1934">
          <cell r="A1934" t="str">
            <v>Rakosniček</v>
          </cell>
        </row>
        <row r="1935">
          <cell r="A1935" t="str">
            <v>Rakosniček</v>
          </cell>
        </row>
        <row r="1936">
          <cell r="A1936" t="str">
            <v>Monika</v>
          </cell>
        </row>
        <row r="1937">
          <cell r="A1937" t="str">
            <v>Krakonoš</v>
          </cell>
        </row>
        <row r="1938">
          <cell r="A1938" t="str">
            <v>Krakonoš</v>
          </cell>
        </row>
        <row r="1939">
          <cell r="A1939" t="str">
            <v>Fantomas</v>
          </cell>
        </row>
        <row r="1940">
          <cell r="A1940" t="str">
            <v>Fantomas</v>
          </cell>
        </row>
        <row r="1941">
          <cell r="A1941" t="str">
            <v>Monika</v>
          </cell>
        </row>
        <row r="1942">
          <cell r="A1942" t="str">
            <v>Rakosniček</v>
          </cell>
        </row>
        <row r="1943">
          <cell r="A1943" t="str">
            <v>Rakosniček</v>
          </cell>
        </row>
        <row r="1944">
          <cell r="A1944" t="str">
            <v>Krakonoš</v>
          </cell>
        </row>
        <row r="1945">
          <cell r="A1945" t="str">
            <v>Monika</v>
          </cell>
        </row>
        <row r="1946">
          <cell r="A1946" t="str">
            <v>Fantomas</v>
          </cell>
        </row>
        <row r="1947">
          <cell r="A1947" t="str">
            <v>Monika</v>
          </cell>
        </row>
        <row r="1948">
          <cell r="A1948" t="str">
            <v>Pavel</v>
          </cell>
        </row>
        <row r="1949">
          <cell r="A1949" t="str">
            <v>Rakosniček</v>
          </cell>
        </row>
        <row r="1950">
          <cell r="A1950" t="str">
            <v>Monika</v>
          </cell>
        </row>
        <row r="1951">
          <cell r="A1951" t="str">
            <v>Pavel</v>
          </cell>
        </row>
        <row r="1952">
          <cell r="A1952" t="str">
            <v>Krakonoš</v>
          </cell>
        </row>
        <row r="1953">
          <cell r="A1953" t="str">
            <v>Krakonoš</v>
          </cell>
        </row>
        <row r="1954">
          <cell r="A1954" t="str">
            <v>Fantomas</v>
          </cell>
        </row>
        <row r="1955">
          <cell r="A1955" t="str">
            <v>Monika</v>
          </cell>
        </row>
        <row r="1956">
          <cell r="A1956" t="str">
            <v>Rakosniček</v>
          </cell>
        </row>
        <row r="1957">
          <cell r="A1957" t="str">
            <v>Pavel</v>
          </cell>
        </row>
        <row r="1958">
          <cell r="A1958" t="str">
            <v>Monika</v>
          </cell>
        </row>
        <row r="1959">
          <cell r="A1959" t="str">
            <v>Fantomas</v>
          </cell>
        </row>
        <row r="1960">
          <cell r="A1960" t="str">
            <v>Fantomas</v>
          </cell>
        </row>
        <row r="1961">
          <cell r="A1961" t="str">
            <v>Rakosniček</v>
          </cell>
        </row>
        <row r="1962">
          <cell r="A1962" t="str">
            <v>Pavel</v>
          </cell>
        </row>
        <row r="1963">
          <cell r="A1963" t="str">
            <v>Krakonoš</v>
          </cell>
        </row>
        <row r="1964">
          <cell r="A1964" t="str">
            <v>Pavel</v>
          </cell>
        </row>
        <row r="1965">
          <cell r="A1965" t="str">
            <v>Fantomas</v>
          </cell>
        </row>
        <row r="1966">
          <cell r="A1966" t="str">
            <v>Monika</v>
          </cell>
        </row>
        <row r="1967">
          <cell r="A1967" t="str">
            <v>Krakonoš</v>
          </cell>
        </row>
        <row r="1968">
          <cell r="A1968" t="str">
            <v>Krakonoš</v>
          </cell>
        </row>
        <row r="1969">
          <cell r="A1969" t="str">
            <v>Krakonoš</v>
          </cell>
        </row>
        <row r="1970">
          <cell r="A1970" t="str">
            <v>Rakosniček</v>
          </cell>
        </row>
        <row r="1971">
          <cell r="A1971" t="str">
            <v>Rakosniček</v>
          </cell>
        </row>
        <row r="1972">
          <cell r="A1972" t="str">
            <v>Pavel</v>
          </cell>
        </row>
        <row r="1973">
          <cell r="A1973" t="str">
            <v>Monika</v>
          </cell>
        </row>
        <row r="1974">
          <cell r="A1974" t="str">
            <v>Fantomas</v>
          </cell>
        </row>
        <row r="1975">
          <cell r="A1975" t="str">
            <v>Krakonoš</v>
          </cell>
        </row>
        <row r="1976">
          <cell r="A1976" t="str">
            <v>Fantomas</v>
          </cell>
        </row>
        <row r="1977">
          <cell r="A1977" t="str">
            <v>Monika</v>
          </cell>
        </row>
        <row r="1978">
          <cell r="A1978" t="str">
            <v>Krakonoš</v>
          </cell>
        </row>
        <row r="1979">
          <cell r="A1979" t="str">
            <v>Fantomas</v>
          </cell>
        </row>
        <row r="1980">
          <cell r="A1980" t="str">
            <v>Krakonoš</v>
          </cell>
        </row>
        <row r="1981">
          <cell r="A1981" t="str">
            <v>Krakonoš</v>
          </cell>
        </row>
        <row r="1982">
          <cell r="A1982" t="str">
            <v>Rakosniček</v>
          </cell>
        </row>
        <row r="1983">
          <cell r="A1983" t="str">
            <v>Fantomas</v>
          </cell>
        </row>
        <row r="1984">
          <cell r="A1984" t="str">
            <v>Krakonoš</v>
          </cell>
        </row>
        <row r="1985">
          <cell r="A1985" t="str">
            <v>Fantomas</v>
          </cell>
        </row>
        <row r="1986">
          <cell r="A1986" t="str">
            <v>Monika</v>
          </cell>
        </row>
        <row r="1987">
          <cell r="A1987" t="str">
            <v>Fantomas</v>
          </cell>
        </row>
        <row r="1988">
          <cell r="A1988" t="str">
            <v>Pavel</v>
          </cell>
        </row>
        <row r="1989">
          <cell r="A1989" t="str">
            <v>Fantomas</v>
          </cell>
        </row>
        <row r="1990">
          <cell r="A1990" t="str">
            <v>Fantomas</v>
          </cell>
        </row>
        <row r="1991">
          <cell r="A1991" t="str">
            <v>Pavel</v>
          </cell>
        </row>
        <row r="1992">
          <cell r="A1992" t="str">
            <v>Monika</v>
          </cell>
        </row>
        <row r="1993">
          <cell r="A1993" t="str">
            <v>Monika</v>
          </cell>
        </row>
        <row r="1994">
          <cell r="A1994" t="str">
            <v>Monika</v>
          </cell>
        </row>
        <row r="1995">
          <cell r="A1995" t="str">
            <v>Monika</v>
          </cell>
        </row>
        <row r="1996">
          <cell r="A1996" t="str">
            <v>Fantomas</v>
          </cell>
        </row>
        <row r="1997">
          <cell r="A1997" t="str">
            <v>Rakosniček</v>
          </cell>
        </row>
        <row r="1998">
          <cell r="A1998" t="str">
            <v>Fantomas</v>
          </cell>
        </row>
        <row r="1999">
          <cell r="A1999" t="str">
            <v>Krakonoš</v>
          </cell>
        </row>
        <row r="2000">
          <cell r="A2000" t="str">
            <v>Krakonoš</v>
          </cell>
        </row>
        <row r="2001">
          <cell r="A2001" t="str">
            <v>Fantomas</v>
          </cell>
        </row>
        <row r="2002">
          <cell r="A2002" t="str">
            <v>Rakosniček</v>
          </cell>
        </row>
        <row r="2003">
          <cell r="A2003" t="str">
            <v>Krakonoš</v>
          </cell>
        </row>
        <row r="2004">
          <cell r="A2004" t="str">
            <v>Rakosniček</v>
          </cell>
        </row>
        <row r="2005">
          <cell r="A2005" t="str">
            <v>Pavel</v>
          </cell>
        </row>
        <row r="2006">
          <cell r="A2006" t="str">
            <v>Pavel</v>
          </cell>
        </row>
        <row r="2007">
          <cell r="A2007" t="str">
            <v>Pavel</v>
          </cell>
        </row>
        <row r="2008">
          <cell r="A2008" t="str">
            <v>Monika</v>
          </cell>
        </row>
        <row r="2009">
          <cell r="A2009" t="str">
            <v>Monika</v>
          </cell>
        </row>
        <row r="2010">
          <cell r="A2010" t="str">
            <v>Monika</v>
          </cell>
        </row>
        <row r="2011">
          <cell r="A2011" t="str">
            <v>Krakonoš</v>
          </cell>
        </row>
        <row r="2012">
          <cell r="A2012" t="str">
            <v>Monika</v>
          </cell>
        </row>
        <row r="2013">
          <cell r="A2013" t="str">
            <v>Krakonoš</v>
          </cell>
        </row>
        <row r="2014">
          <cell r="A2014" t="str">
            <v>Krakonoš</v>
          </cell>
        </row>
        <row r="2015">
          <cell r="A2015" t="str">
            <v>Monika</v>
          </cell>
        </row>
        <row r="2016">
          <cell r="A2016" t="str">
            <v>Monika</v>
          </cell>
        </row>
        <row r="2017">
          <cell r="A2017" t="str">
            <v>Monika</v>
          </cell>
        </row>
        <row r="2018">
          <cell r="A2018" t="str">
            <v>Monika</v>
          </cell>
        </row>
        <row r="2019">
          <cell r="A2019" t="str">
            <v>Fantomas</v>
          </cell>
        </row>
        <row r="2020">
          <cell r="A2020" t="str">
            <v>Krakonoš</v>
          </cell>
        </row>
        <row r="2021">
          <cell r="A2021" t="str">
            <v>Krakonoš</v>
          </cell>
        </row>
        <row r="2022">
          <cell r="A2022" t="str">
            <v>Krakonoš</v>
          </cell>
        </row>
        <row r="2023">
          <cell r="A2023" t="str">
            <v>Rakosniček</v>
          </cell>
        </row>
        <row r="2024">
          <cell r="A2024" t="str">
            <v>Fantomas</v>
          </cell>
        </row>
        <row r="2025">
          <cell r="A2025" t="str">
            <v>Fantomas</v>
          </cell>
        </row>
        <row r="2026">
          <cell r="A2026" t="str">
            <v>Krakonoš</v>
          </cell>
        </row>
        <row r="2027">
          <cell r="A2027" t="str">
            <v>Fantomas</v>
          </cell>
        </row>
        <row r="2028">
          <cell r="A2028" t="str">
            <v>Rakosniček</v>
          </cell>
        </row>
        <row r="2029">
          <cell r="A2029" t="str">
            <v>Monika</v>
          </cell>
        </row>
        <row r="2030">
          <cell r="A2030" t="str">
            <v>Rakosniček</v>
          </cell>
        </row>
        <row r="2031">
          <cell r="A2031" t="str">
            <v>Pavel</v>
          </cell>
        </row>
        <row r="2032">
          <cell r="A2032" t="str">
            <v>Pavel</v>
          </cell>
        </row>
        <row r="2033">
          <cell r="A2033" t="str">
            <v>Krakonoš</v>
          </cell>
        </row>
        <row r="2034">
          <cell r="A2034" t="str">
            <v>Krakonoš</v>
          </cell>
        </row>
        <row r="2035">
          <cell r="A2035" t="str">
            <v>Monika</v>
          </cell>
        </row>
        <row r="2036">
          <cell r="A2036" t="str">
            <v>Monika</v>
          </cell>
        </row>
        <row r="2037">
          <cell r="A2037" t="str">
            <v>Pavel</v>
          </cell>
        </row>
        <row r="2038">
          <cell r="A2038" t="str">
            <v>Pavel</v>
          </cell>
        </row>
        <row r="2039">
          <cell r="A2039" t="str">
            <v>Fantomas</v>
          </cell>
        </row>
        <row r="2040">
          <cell r="A2040" t="str">
            <v>Pavel</v>
          </cell>
        </row>
        <row r="2041">
          <cell r="A2041" t="str">
            <v>Krakonoš</v>
          </cell>
        </row>
        <row r="2042">
          <cell r="A2042" t="str">
            <v>Rakosniček</v>
          </cell>
        </row>
        <row r="2043">
          <cell r="A2043" t="str">
            <v>Krakonoš</v>
          </cell>
        </row>
        <row r="2044">
          <cell r="A2044" t="str">
            <v>Fantomas</v>
          </cell>
        </row>
        <row r="2045">
          <cell r="A2045" t="str">
            <v>Monika</v>
          </cell>
        </row>
        <row r="2046">
          <cell r="A2046" t="str">
            <v>Fantomas</v>
          </cell>
        </row>
        <row r="2047">
          <cell r="A2047" t="str">
            <v>Monika</v>
          </cell>
        </row>
        <row r="2048">
          <cell r="A2048" t="str">
            <v>Fantomas</v>
          </cell>
        </row>
        <row r="2049">
          <cell r="A2049" t="str">
            <v>Pavel</v>
          </cell>
        </row>
        <row r="2050">
          <cell r="A2050" t="str">
            <v>Pavel</v>
          </cell>
        </row>
        <row r="2051">
          <cell r="A2051" t="str">
            <v>Pavel</v>
          </cell>
        </row>
        <row r="2052">
          <cell r="A2052" t="str">
            <v>Monika</v>
          </cell>
        </row>
        <row r="2053">
          <cell r="A2053" t="str">
            <v>Monika</v>
          </cell>
        </row>
        <row r="2054">
          <cell r="A2054" t="str">
            <v>Fantomas</v>
          </cell>
        </row>
        <row r="2055">
          <cell r="A2055" t="str">
            <v>Rakosniček</v>
          </cell>
        </row>
        <row r="2056">
          <cell r="A2056" t="str">
            <v>Rakosniček</v>
          </cell>
        </row>
        <row r="2057">
          <cell r="A2057" t="str">
            <v>Krakonoš</v>
          </cell>
        </row>
        <row r="2058">
          <cell r="A2058" t="str">
            <v>Pavel</v>
          </cell>
        </row>
        <row r="2059">
          <cell r="A2059" t="str">
            <v>Krakonoš</v>
          </cell>
        </row>
        <row r="2060">
          <cell r="A2060" t="str">
            <v>Pavel</v>
          </cell>
        </row>
        <row r="2061">
          <cell r="A2061" t="str">
            <v>Pavel</v>
          </cell>
        </row>
        <row r="2062">
          <cell r="A2062" t="str">
            <v>Pavel</v>
          </cell>
        </row>
        <row r="2063">
          <cell r="A2063" t="str">
            <v>Rakosniček</v>
          </cell>
        </row>
        <row r="2064">
          <cell r="A2064" t="str">
            <v>Monika</v>
          </cell>
        </row>
        <row r="2065">
          <cell r="A2065" t="str">
            <v>Monika</v>
          </cell>
        </row>
        <row r="2066">
          <cell r="A2066" t="str">
            <v>Krakonoš</v>
          </cell>
        </row>
        <row r="2067">
          <cell r="A2067" t="str">
            <v>Fantomas</v>
          </cell>
        </row>
        <row r="2068">
          <cell r="A2068" t="str">
            <v>Krakonoš</v>
          </cell>
        </row>
        <row r="2069">
          <cell r="A2069" t="str">
            <v>Monika</v>
          </cell>
        </row>
        <row r="2070">
          <cell r="A2070" t="str">
            <v>Rakosniček</v>
          </cell>
        </row>
        <row r="2071">
          <cell r="A2071" t="str">
            <v>Krakonoš</v>
          </cell>
        </row>
        <row r="2072">
          <cell r="A2072" t="str">
            <v>Rakosniček</v>
          </cell>
        </row>
        <row r="2073">
          <cell r="A2073" t="str">
            <v>Rakosniček</v>
          </cell>
        </row>
        <row r="2074">
          <cell r="A2074" t="str">
            <v>Krakonoš</v>
          </cell>
        </row>
        <row r="2075">
          <cell r="A2075" t="str">
            <v>Monika</v>
          </cell>
        </row>
        <row r="2076">
          <cell r="A2076" t="str">
            <v>Krakonoš</v>
          </cell>
        </row>
        <row r="2077">
          <cell r="A2077" t="str">
            <v>Monika</v>
          </cell>
        </row>
        <row r="2078">
          <cell r="A2078" t="str">
            <v>Fantomas</v>
          </cell>
        </row>
        <row r="2079">
          <cell r="A2079" t="str">
            <v>Pavel</v>
          </cell>
        </row>
        <row r="2080">
          <cell r="A2080" t="str">
            <v>Fantomas</v>
          </cell>
        </row>
        <row r="2081">
          <cell r="A2081" t="str">
            <v>Krakonoš</v>
          </cell>
        </row>
        <row r="2082">
          <cell r="A2082" t="str">
            <v>Krakonoš</v>
          </cell>
        </row>
        <row r="2083">
          <cell r="A2083" t="str">
            <v>Monika</v>
          </cell>
        </row>
        <row r="2084">
          <cell r="A2084" t="str">
            <v>Fantomas</v>
          </cell>
        </row>
        <row r="2085">
          <cell r="A2085" t="str">
            <v>Pavel</v>
          </cell>
        </row>
        <row r="2086">
          <cell r="A2086" t="str">
            <v>Krakonoš</v>
          </cell>
        </row>
        <row r="2087">
          <cell r="A2087" t="str">
            <v>Pavel</v>
          </cell>
        </row>
        <row r="2088">
          <cell r="A2088" t="str">
            <v>Monika</v>
          </cell>
        </row>
        <row r="2089">
          <cell r="A2089" t="str">
            <v>Krakonoš</v>
          </cell>
        </row>
        <row r="2090">
          <cell r="A2090" t="str">
            <v>Rakosniček</v>
          </cell>
        </row>
        <row r="2091">
          <cell r="A2091" t="str">
            <v>Fantomas</v>
          </cell>
        </row>
        <row r="2092">
          <cell r="A2092" t="str">
            <v>Monika</v>
          </cell>
        </row>
        <row r="2093">
          <cell r="A2093" t="str">
            <v>Pavel</v>
          </cell>
        </row>
        <row r="2094">
          <cell r="A2094" t="str">
            <v>Monika</v>
          </cell>
        </row>
        <row r="2095">
          <cell r="A2095" t="str">
            <v>Fantomas</v>
          </cell>
        </row>
        <row r="2096">
          <cell r="A2096" t="str">
            <v>Fantomas</v>
          </cell>
        </row>
        <row r="2097">
          <cell r="A2097" t="str">
            <v>Monika</v>
          </cell>
        </row>
        <row r="2098">
          <cell r="A2098" t="str">
            <v>Pavel</v>
          </cell>
        </row>
        <row r="2099">
          <cell r="A2099" t="str">
            <v>Fantomas</v>
          </cell>
        </row>
        <row r="2100">
          <cell r="A2100" t="str">
            <v>Fantomas</v>
          </cell>
        </row>
        <row r="2101">
          <cell r="A2101" t="str">
            <v>Rakosniček</v>
          </cell>
        </row>
        <row r="2102">
          <cell r="A2102" t="str">
            <v>Pavel</v>
          </cell>
        </row>
        <row r="2103">
          <cell r="A2103" t="str">
            <v>Pavel</v>
          </cell>
        </row>
        <row r="2104">
          <cell r="A2104" t="str">
            <v>Pavel</v>
          </cell>
        </row>
        <row r="2105">
          <cell r="A2105" t="str">
            <v>Rakosniček</v>
          </cell>
        </row>
        <row r="2106">
          <cell r="A2106" t="str">
            <v>Monika</v>
          </cell>
        </row>
        <row r="2107">
          <cell r="A2107" t="str">
            <v>Rakosniček</v>
          </cell>
        </row>
        <row r="2108">
          <cell r="A2108" t="str">
            <v>Krakonoš</v>
          </cell>
        </row>
        <row r="2109">
          <cell r="A2109" t="str">
            <v>Fantomas</v>
          </cell>
        </row>
        <row r="2110">
          <cell r="A2110" t="str">
            <v>Krakonoš</v>
          </cell>
        </row>
        <row r="2111">
          <cell r="A2111" t="str">
            <v>Monika</v>
          </cell>
        </row>
        <row r="2112">
          <cell r="A2112" t="str">
            <v>Monika</v>
          </cell>
        </row>
        <row r="2113">
          <cell r="A2113" t="str">
            <v>Krakonoš</v>
          </cell>
        </row>
        <row r="2114">
          <cell r="A2114" t="str">
            <v>Monika</v>
          </cell>
        </row>
        <row r="2115">
          <cell r="A2115" t="str">
            <v>Krakonoš</v>
          </cell>
        </row>
        <row r="2116">
          <cell r="A2116" t="str">
            <v>Fantomas</v>
          </cell>
        </row>
        <row r="2117">
          <cell r="A2117" t="str">
            <v>Krakonoš</v>
          </cell>
        </row>
        <row r="2118">
          <cell r="A2118" t="str">
            <v>Monika</v>
          </cell>
        </row>
        <row r="2119">
          <cell r="A2119" t="str">
            <v>Rakosniček</v>
          </cell>
        </row>
        <row r="2120">
          <cell r="A2120" t="str">
            <v>Rakosniček</v>
          </cell>
        </row>
        <row r="2121">
          <cell r="A2121" t="str">
            <v>Rakosniček</v>
          </cell>
        </row>
        <row r="2122">
          <cell r="A2122" t="str">
            <v>Krakonoš</v>
          </cell>
        </row>
        <row r="2123">
          <cell r="A2123" t="str">
            <v>Pavel</v>
          </cell>
        </row>
        <row r="2124">
          <cell r="A2124" t="str">
            <v>Monika</v>
          </cell>
        </row>
        <row r="2125">
          <cell r="A2125" t="str">
            <v>Rakosniček</v>
          </cell>
        </row>
        <row r="2126">
          <cell r="A2126" t="str">
            <v>Fantomas</v>
          </cell>
        </row>
        <row r="2127">
          <cell r="A2127" t="str">
            <v>Krakonoš</v>
          </cell>
        </row>
        <row r="2128">
          <cell r="A2128" t="str">
            <v>Fantomas</v>
          </cell>
        </row>
        <row r="2129">
          <cell r="A2129" t="str">
            <v>Fantomas</v>
          </cell>
        </row>
        <row r="2130">
          <cell r="A2130" t="str">
            <v>Rakosniček</v>
          </cell>
        </row>
        <row r="2131">
          <cell r="A2131" t="str">
            <v>Fantomas</v>
          </cell>
        </row>
        <row r="2132">
          <cell r="A2132" t="str">
            <v>Pavel</v>
          </cell>
        </row>
        <row r="2133">
          <cell r="A2133" t="str">
            <v>Monika</v>
          </cell>
        </row>
        <row r="2134">
          <cell r="A2134" t="str">
            <v>Monika</v>
          </cell>
        </row>
        <row r="2135">
          <cell r="A2135" t="str">
            <v>Krakonoš</v>
          </cell>
        </row>
        <row r="2136">
          <cell r="A2136" t="str">
            <v>Krakonoš</v>
          </cell>
        </row>
        <row r="2137">
          <cell r="A2137" t="str">
            <v>Monika</v>
          </cell>
        </row>
        <row r="2138">
          <cell r="A2138" t="str">
            <v>Monika</v>
          </cell>
        </row>
        <row r="2139">
          <cell r="A2139" t="str">
            <v>Pavel</v>
          </cell>
        </row>
        <row r="2140">
          <cell r="A2140" t="str">
            <v>Pavel</v>
          </cell>
        </row>
        <row r="2141">
          <cell r="A2141" t="str">
            <v>Pavel</v>
          </cell>
        </row>
        <row r="2142">
          <cell r="A2142" t="str">
            <v>Krakonoš</v>
          </cell>
        </row>
        <row r="2143">
          <cell r="A2143" t="str">
            <v>Fantomas</v>
          </cell>
        </row>
        <row r="2144">
          <cell r="A2144" t="str">
            <v>Rakosniček</v>
          </cell>
        </row>
        <row r="2145">
          <cell r="A2145" t="str">
            <v>Monika</v>
          </cell>
        </row>
        <row r="2146">
          <cell r="A2146" t="str">
            <v>Rakosniček</v>
          </cell>
        </row>
        <row r="2147">
          <cell r="A2147" t="str">
            <v>Krakonoš</v>
          </cell>
        </row>
        <row r="2148">
          <cell r="A2148" t="str">
            <v>Pavel</v>
          </cell>
        </row>
        <row r="2149">
          <cell r="A2149" t="str">
            <v>Pavel</v>
          </cell>
        </row>
        <row r="2150">
          <cell r="A2150" t="str">
            <v>Rakosniček</v>
          </cell>
        </row>
        <row r="2151">
          <cell r="A2151" t="str">
            <v>Rakosniček</v>
          </cell>
        </row>
        <row r="2152">
          <cell r="A2152" t="str">
            <v>Monika</v>
          </cell>
        </row>
        <row r="2153">
          <cell r="A2153" t="str">
            <v>Krakonoš</v>
          </cell>
        </row>
        <row r="2154">
          <cell r="A2154" t="str">
            <v>Pavel</v>
          </cell>
        </row>
        <row r="2155">
          <cell r="A2155" t="str">
            <v>Pavel</v>
          </cell>
        </row>
        <row r="2156">
          <cell r="A2156" t="str">
            <v>Rakosniček</v>
          </cell>
        </row>
        <row r="2157">
          <cell r="A2157" t="str">
            <v>Rakosniček</v>
          </cell>
        </row>
        <row r="2158">
          <cell r="A2158" t="str">
            <v>Fantomas</v>
          </cell>
        </row>
        <row r="2159">
          <cell r="A2159" t="str">
            <v>Monika</v>
          </cell>
        </row>
        <row r="2160">
          <cell r="A2160" t="str">
            <v>Rakosniček</v>
          </cell>
        </row>
        <row r="2161">
          <cell r="A2161" t="str">
            <v>Fantomas</v>
          </cell>
        </row>
        <row r="2162">
          <cell r="A2162" t="str">
            <v>Krakonoš</v>
          </cell>
        </row>
        <row r="2163">
          <cell r="A2163" t="str">
            <v>Rakosniček</v>
          </cell>
        </row>
        <row r="2164">
          <cell r="A2164" t="str">
            <v>Monika</v>
          </cell>
        </row>
        <row r="2165">
          <cell r="A2165" t="str">
            <v>Rakosniček</v>
          </cell>
        </row>
        <row r="2166">
          <cell r="A2166" t="str">
            <v>Monika</v>
          </cell>
        </row>
        <row r="2167">
          <cell r="A2167" t="str">
            <v>Pavel</v>
          </cell>
        </row>
        <row r="2168">
          <cell r="A2168" t="str">
            <v>Rakosniček</v>
          </cell>
        </row>
        <row r="2169">
          <cell r="A2169" t="str">
            <v>Fantomas</v>
          </cell>
        </row>
        <row r="2170">
          <cell r="A2170" t="str">
            <v>Rakosniček</v>
          </cell>
        </row>
        <row r="2171">
          <cell r="A2171" t="str">
            <v>Monika</v>
          </cell>
        </row>
        <row r="2172">
          <cell r="A2172" t="str">
            <v>Fantomas</v>
          </cell>
        </row>
        <row r="2173">
          <cell r="A2173" t="str">
            <v>Krakonoš</v>
          </cell>
        </row>
        <row r="2174">
          <cell r="A2174" t="str">
            <v>Rakosniček</v>
          </cell>
        </row>
        <row r="2175">
          <cell r="A2175" t="str">
            <v>Krakonoš</v>
          </cell>
        </row>
        <row r="2176">
          <cell r="A2176" t="str">
            <v>Fantomas</v>
          </cell>
        </row>
        <row r="2177">
          <cell r="A2177" t="str">
            <v>Pavel</v>
          </cell>
        </row>
        <row r="2178">
          <cell r="A2178" t="str">
            <v>Monika</v>
          </cell>
        </row>
        <row r="2179">
          <cell r="A2179" t="str">
            <v>Monika</v>
          </cell>
        </row>
        <row r="2180">
          <cell r="A2180" t="str">
            <v>Rakosniček</v>
          </cell>
        </row>
        <row r="2181">
          <cell r="A2181" t="str">
            <v>Rakosniček</v>
          </cell>
        </row>
        <row r="2182">
          <cell r="A2182" t="str">
            <v>Pavel</v>
          </cell>
        </row>
        <row r="2183">
          <cell r="A2183" t="str">
            <v>Monika</v>
          </cell>
        </row>
        <row r="2184">
          <cell r="A2184" t="str">
            <v>Rakosniček</v>
          </cell>
        </row>
        <row r="2185">
          <cell r="A2185" t="str">
            <v>Rakosniček</v>
          </cell>
        </row>
        <row r="2186">
          <cell r="A2186" t="str">
            <v>Fantomas</v>
          </cell>
        </row>
        <row r="2187">
          <cell r="A2187" t="str">
            <v>Monika</v>
          </cell>
        </row>
        <row r="2188">
          <cell r="A2188" t="str">
            <v>Krakonoš</v>
          </cell>
        </row>
        <row r="2189">
          <cell r="A2189" t="str">
            <v>Rakosniček</v>
          </cell>
        </row>
        <row r="2190">
          <cell r="A2190" t="str">
            <v>Pavel</v>
          </cell>
        </row>
        <row r="2191">
          <cell r="A2191" t="str">
            <v>Pavel</v>
          </cell>
        </row>
        <row r="2192">
          <cell r="A2192" t="str">
            <v>Pavel</v>
          </cell>
        </row>
        <row r="2193">
          <cell r="A2193" t="str">
            <v>Pavel</v>
          </cell>
        </row>
        <row r="2194">
          <cell r="A2194" t="str">
            <v>Krakonoš</v>
          </cell>
        </row>
        <row r="2195">
          <cell r="A2195" t="str">
            <v>Rakosniček</v>
          </cell>
        </row>
        <row r="2196">
          <cell r="A2196" t="str">
            <v>Pavel</v>
          </cell>
        </row>
        <row r="2197">
          <cell r="A2197" t="str">
            <v>Monika</v>
          </cell>
        </row>
        <row r="2198">
          <cell r="A2198" t="str">
            <v>Monika</v>
          </cell>
        </row>
        <row r="2199">
          <cell r="A2199" t="str">
            <v>Rakosniček</v>
          </cell>
        </row>
        <row r="2200">
          <cell r="A2200" t="str">
            <v>Monika</v>
          </cell>
        </row>
        <row r="2201">
          <cell r="A2201" t="str">
            <v>Krakonoš</v>
          </cell>
        </row>
        <row r="2202">
          <cell r="A2202" t="str">
            <v>Monika</v>
          </cell>
        </row>
        <row r="2203">
          <cell r="A2203" t="str">
            <v>Fantomas</v>
          </cell>
        </row>
        <row r="2204">
          <cell r="A2204" t="str">
            <v>Pavel</v>
          </cell>
        </row>
        <row r="2205">
          <cell r="A2205" t="str">
            <v>Fantomas</v>
          </cell>
        </row>
        <row r="2206">
          <cell r="A2206" t="str">
            <v>Fantomas</v>
          </cell>
        </row>
        <row r="2207">
          <cell r="A2207" t="str">
            <v>Pavel</v>
          </cell>
        </row>
        <row r="2208">
          <cell r="A2208" t="str">
            <v>Fantomas</v>
          </cell>
        </row>
        <row r="2209">
          <cell r="A2209" t="str">
            <v>Pavel</v>
          </cell>
        </row>
        <row r="2210">
          <cell r="A2210" t="str">
            <v>Pavel</v>
          </cell>
        </row>
        <row r="2211">
          <cell r="A2211" t="str">
            <v>Rakosniček</v>
          </cell>
        </row>
        <row r="2212">
          <cell r="A2212" t="str">
            <v>Rakosniček</v>
          </cell>
        </row>
        <row r="2213">
          <cell r="A2213" t="str">
            <v>Krakonoš</v>
          </cell>
        </row>
        <row r="2214">
          <cell r="A2214" t="str">
            <v>Fantomas</v>
          </cell>
        </row>
        <row r="2215">
          <cell r="A2215" t="str">
            <v>Rakosniček</v>
          </cell>
        </row>
        <row r="2216">
          <cell r="A2216" t="str">
            <v>Pavel</v>
          </cell>
        </row>
        <row r="2217">
          <cell r="A2217" t="str">
            <v>Fantomas</v>
          </cell>
        </row>
        <row r="2218">
          <cell r="A2218" t="str">
            <v>Pavel</v>
          </cell>
        </row>
        <row r="2219">
          <cell r="A2219" t="str">
            <v>Rakosniček</v>
          </cell>
        </row>
        <row r="2220">
          <cell r="A2220" t="str">
            <v>Fantomas</v>
          </cell>
        </row>
        <row r="2221">
          <cell r="A2221" t="str">
            <v>Krakonoš</v>
          </cell>
        </row>
        <row r="2222">
          <cell r="A2222" t="str">
            <v>Monika</v>
          </cell>
        </row>
        <row r="2223">
          <cell r="A2223" t="str">
            <v>Fantomas</v>
          </cell>
        </row>
        <row r="2224">
          <cell r="A2224" t="str">
            <v>Pavel</v>
          </cell>
        </row>
        <row r="2225">
          <cell r="A2225" t="str">
            <v>Krakonoš</v>
          </cell>
        </row>
        <row r="2226">
          <cell r="A2226" t="str">
            <v>Pavel</v>
          </cell>
        </row>
        <row r="2227">
          <cell r="A2227" t="str">
            <v>Rakosniček</v>
          </cell>
        </row>
        <row r="2228">
          <cell r="A2228" t="str">
            <v>Pavel</v>
          </cell>
        </row>
        <row r="2229">
          <cell r="A2229" t="str">
            <v>Rakosniček</v>
          </cell>
        </row>
        <row r="2230">
          <cell r="A2230" t="str">
            <v>Monika</v>
          </cell>
        </row>
        <row r="2231">
          <cell r="A2231" t="str">
            <v>Krakonoš</v>
          </cell>
        </row>
        <row r="2232">
          <cell r="A2232" t="str">
            <v>Rakosniček</v>
          </cell>
        </row>
        <row r="2233">
          <cell r="A2233" t="str">
            <v>Fantomas</v>
          </cell>
        </row>
        <row r="2234">
          <cell r="A2234" t="str">
            <v>Krakonoš</v>
          </cell>
        </row>
        <row r="2235">
          <cell r="A2235" t="str">
            <v>Pavel</v>
          </cell>
        </row>
        <row r="2236">
          <cell r="A2236" t="str">
            <v>Fantomas</v>
          </cell>
        </row>
        <row r="2237">
          <cell r="A2237" t="str">
            <v>Rakosniček</v>
          </cell>
        </row>
        <row r="2238">
          <cell r="A2238" t="str">
            <v>Krakonoš</v>
          </cell>
        </row>
        <row r="2239">
          <cell r="A2239" t="str">
            <v>Pavel</v>
          </cell>
        </row>
        <row r="2240">
          <cell r="A2240" t="str">
            <v>Rakosniček</v>
          </cell>
        </row>
        <row r="2241">
          <cell r="A2241" t="str">
            <v>Krakonoš</v>
          </cell>
        </row>
        <row r="2242">
          <cell r="A2242" t="str">
            <v>Monika</v>
          </cell>
        </row>
        <row r="2243">
          <cell r="A2243" t="str">
            <v>Pavel</v>
          </cell>
        </row>
        <row r="2244">
          <cell r="A2244" t="str">
            <v>Krakonoš</v>
          </cell>
        </row>
        <row r="2245">
          <cell r="A2245" t="str">
            <v>Pavel</v>
          </cell>
        </row>
        <row r="2246">
          <cell r="A2246" t="str">
            <v>Pavel</v>
          </cell>
        </row>
        <row r="2247">
          <cell r="A2247" t="str">
            <v>Krakonoš</v>
          </cell>
        </row>
        <row r="2248">
          <cell r="A2248" t="str">
            <v>Fantomas</v>
          </cell>
        </row>
        <row r="2249">
          <cell r="A2249" t="str">
            <v>Krakonoš</v>
          </cell>
        </row>
        <row r="2250">
          <cell r="A2250" t="str">
            <v>Rakosniček</v>
          </cell>
        </row>
        <row r="2251">
          <cell r="A2251" t="str">
            <v>Pavel</v>
          </cell>
        </row>
        <row r="2252">
          <cell r="A2252" t="str">
            <v>Krakonoš</v>
          </cell>
        </row>
        <row r="2253">
          <cell r="A2253" t="str">
            <v>Rakosniček</v>
          </cell>
        </row>
        <row r="2254">
          <cell r="A2254" t="str">
            <v>Monika</v>
          </cell>
        </row>
        <row r="2255">
          <cell r="A2255" t="str">
            <v>Rakosniček</v>
          </cell>
        </row>
        <row r="2256">
          <cell r="A2256" t="str">
            <v>Fantomas</v>
          </cell>
        </row>
        <row r="2257">
          <cell r="A2257" t="str">
            <v>Rakosniček</v>
          </cell>
        </row>
        <row r="2258">
          <cell r="A2258" t="str">
            <v>Fantomas</v>
          </cell>
        </row>
        <row r="2259">
          <cell r="A2259" t="str">
            <v>Krakonoš</v>
          </cell>
        </row>
        <row r="2260">
          <cell r="A2260" t="str">
            <v>Pavel</v>
          </cell>
        </row>
        <row r="2261">
          <cell r="A2261" t="str">
            <v>Pavel</v>
          </cell>
        </row>
        <row r="2262">
          <cell r="A2262" t="str">
            <v>Pavel</v>
          </cell>
        </row>
        <row r="2263">
          <cell r="A2263" t="str">
            <v>Monika</v>
          </cell>
        </row>
        <row r="2264">
          <cell r="A2264" t="str">
            <v>Pavel</v>
          </cell>
        </row>
        <row r="2265">
          <cell r="A2265" t="str">
            <v>Monika</v>
          </cell>
        </row>
        <row r="2266">
          <cell r="A2266" t="str">
            <v>Pavel</v>
          </cell>
        </row>
        <row r="2267">
          <cell r="A2267" t="str">
            <v>Monika</v>
          </cell>
        </row>
        <row r="2268">
          <cell r="A2268" t="str">
            <v>Krakonoš</v>
          </cell>
        </row>
        <row r="2269">
          <cell r="A2269" t="str">
            <v>Krakonoš</v>
          </cell>
        </row>
        <row r="2270">
          <cell r="A2270" t="str">
            <v>Rakosniček</v>
          </cell>
        </row>
        <row r="2271">
          <cell r="A2271" t="str">
            <v>Fantomas</v>
          </cell>
        </row>
        <row r="2272">
          <cell r="A2272" t="str">
            <v>Krakonoš</v>
          </cell>
        </row>
        <row r="2273">
          <cell r="A2273" t="str">
            <v>Fantomas</v>
          </cell>
        </row>
        <row r="2274">
          <cell r="A2274" t="str">
            <v>Monika</v>
          </cell>
        </row>
        <row r="2275">
          <cell r="A2275" t="str">
            <v>Pavel</v>
          </cell>
        </row>
        <row r="2276">
          <cell r="A2276" t="str">
            <v>Krakonoš</v>
          </cell>
        </row>
        <row r="2277">
          <cell r="A2277" t="str">
            <v>Fantomas</v>
          </cell>
        </row>
        <row r="2278">
          <cell r="A2278" t="str">
            <v>Fantomas</v>
          </cell>
        </row>
        <row r="2279">
          <cell r="A2279" t="str">
            <v>Fantomas</v>
          </cell>
        </row>
        <row r="2280">
          <cell r="A2280" t="str">
            <v>Krakonoš</v>
          </cell>
        </row>
        <row r="2281">
          <cell r="A2281" t="str">
            <v>Krakonoš</v>
          </cell>
        </row>
        <row r="2282">
          <cell r="A2282" t="str">
            <v>Fantomas</v>
          </cell>
        </row>
        <row r="2283">
          <cell r="A2283" t="str">
            <v>Monika</v>
          </cell>
        </row>
        <row r="2284">
          <cell r="A2284" t="str">
            <v>Rakosniček</v>
          </cell>
        </row>
        <row r="2285">
          <cell r="A2285" t="str">
            <v>Rakosniček</v>
          </cell>
        </row>
        <row r="2286">
          <cell r="A2286" t="str">
            <v>Fantomas</v>
          </cell>
        </row>
        <row r="2287">
          <cell r="A2287" t="str">
            <v>Fantomas</v>
          </cell>
        </row>
        <row r="2288">
          <cell r="A2288" t="str">
            <v>Krakonoš</v>
          </cell>
        </row>
        <row r="2289">
          <cell r="A2289" t="str">
            <v>Rakosniček</v>
          </cell>
        </row>
        <row r="2290">
          <cell r="A2290" t="str">
            <v>Fantomas</v>
          </cell>
        </row>
        <row r="2291">
          <cell r="A2291" t="str">
            <v>Monika</v>
          </cell>
        </row>
        <row r="2292">
          <cell r="A2292" t="str">
            <v>Krakonoš</v>
          </cell>
        </row>
        <row r="2293">
          <cell r="A2293" t="str">
            <v>Pavel</v>
          </cell>
        </row>
        <row r="2294">
          <cell r="A2294" t="str">
            <v>Krakonoš</v>
          </cell>
        </row>
        <row r="2295">
          <cell r="A2295" t="str">
            <v>Monika</v>
          </cell>
        </row>
        <row r="2296">
          <cell r="A2296" t="str">
            <v>Pavel</v>
          </cell>
        </row>
        <row r="2297">
          <cell r="A2297" t="str">
            <v>Fantomas</v>
          </cell>
        </row>
        <row r="2298">
          <cell r="A2298" t="str">
            <v>Monika</v>
          </cell>
        </row>
        <row r="2299">
          <cell r="A2299" t="str">
            <v>Monika</v>
          </cell>
        </row>
        <row r="2300">
          <cell r="A2300" t="str">
            <v>Monika</v>
          </cell>
        </row>
        <row r="2301">
          <cell r="A2301" t="str">
            <v>Krakonoš</v>
          </cell>
        </row>
        <row r="2302">
          <cell r="A2302" t="str">
            <v>Rakosniček</v>
          </cell>
        </row>
        <row r="2303">
          <cell r="A2303" t="str">
            <v>Pavel</v>
          </cell>
        </row>
        <row r="2304">
          <cell r="A2304" t="str">
            <v>Monika</v>
          </cell>
        </row>
        <row r="2305">
          <cell r="A2305" t="str">
            <v>Rakosniček</v>
          </cell>
        </row>
        <row r="2306">
          <cell r="A2306" t="str">
            <v>Pavel</v>
          </cell>
        </row>
        <row r="2307">
          <cell r="A2307" t="str">
            <v>Fantomas</v>
          </cell>
        </row>
        <row r="2308">
          <cell r="A2308" t="str">
            <v>Krakonoš</v>
          </cell>
        </row>
        <row r="2309">
          <cell r="A2309" t="str">
            <v>Monika</v>
          </cell>
        </row>
        <row r="2310">
          <cell r="A2310" t="str">
            <v>Rakosniček</v>
          </cell>
        </row>
        <row r="2311">
          <cell r="A2311" t="str">
            <v>Pavel</v>
          </cell>
        </row>
        <row r="2312">
          <cell r="A2312" t="str">
            <v>Fantomas</v>
          </cell>
        </row>
        <row r="2313">
          <cell r="A2313" t="str">
            <v>Krakonoš</v>
          </cell>
        </row>
        <row r="2314">
          <cell r="A2314" t="str">
            <v>Fantomas</v>
          </cell>
        </row>
        <row r="2315">
          <cell r="A2315" t="str">
            <v>Monika</v>
          </cell>
        </row>
        <row r="2316">
          <cell r="A2316" t="str">
            <v>Fantomas</v>
          </cell>
        </row>
        <row r="2317">
          <cell r="A2317" t="str">
            <v>Rakosniček</v>
          </cell>
        </row>
        <row r="2318">
          <cell r="A2318" t="str">
            <v>Fantomas</v>
          </cell>
        </row>
        <row r="2319">
          <cell r="A2319" t="str">
            <v>Pavel</v>
          </cell>
        </row>
        <row r="2320">
          <cell r="A2320" t="str">
            <v>Rakosniček</v>
          </cell>
        </row>
        <row r="2321">
          <cell r="A2321" t="str">
            <v>Fantomas</v>
          </cell>
        </row>
        <row r="2322">
          <cell r="A2322" t="str">
            <v>Krakonoš</v>
          </cell>
        </row>
        <row r="2323">
          <cell r="A2323" t="str">
            <v>Monika</v>
          </cell>
        </row>
        <row r="2324">
          <cell r="A2324" t="str">
            <v>Rakosniček</v>
          </cell>
        </row>
        <row r="2325">
          <cell r="A2325" t="str">
            <v>Monika</v>
          </cell>
        </row>
        <row r="2326">
          <cell r="A2326" t="str">
            <v>Pavel</v>
          </cell>
        </row>
        <row r="2327">
          <cell r="A2327" t="str">
            <v>Pavel</v>
          </cell>
        </row>
        <row r="2328">
          <cell r="A2328" t="str">
            <v>Krakonoš</v>
          </cell>
        </row>
        <row r="2329">
          <cell r="A2329" t="str">
            <v>Fantomas</v>
          </cell>
        </row>
        <row r="2330">
          <cell r="A2330" t="str">
            <v>Krakonoš</v>
          </cell>
        </row>
        <row r="2331">
          <cell r="A2331" t="str">
            <v>Fantomas</v>
          </cell>
        </row>
        <row r="2332">
          <cell r="A2332" t="str">
            <v>Pavel</v>
          </cell>
        </row>
        <row r="2333">
          <cell r="A2333" t="str">
            <v>Fantomas</v>
          </cell>
        </row>
        <row r="2334">
          <cell r="A2334" t="str">
            <v>Monika</v>
          </cell>
        </row>
        <row r="2335">
          <cell r="A2335" t="str">
            <v>Fantomas</v>
          </cell>
        </row>
        <row r="2336">
          <cell r="A2336" t="str">
            <v>Krakonoš</v>
          </cell>
        </row>
        <row r="2337">
          <cell r="A2337" t="str">
            <v>Monika</v>
          </cell>
        </row>
        <row r="2338">
          <cell r="A2338" t="str">
            <v>Fantomas</v>
          </cell>
        </row>
        <row r="2339">
          <cell r="A2339" t="str">
            <v>Rakosniček</v>
          </cell>
        </row>
        <row r="2340">
          <cell r="A2340" t="str">
            <v>Monika</v>
          </cell>
        </row>
        <row r="2341">
          <cell r="A2341" t="str">
            <v>Rakosniček</v>
          </cell>
        </row>
        <row r="2342">
          <cell r="A2342" t="str">
            <v>Rakosniček</v>
          </cell>
        </row>
        <row r="2343">
          <cell r="A2343" t="str">
            <v>Krakonoš</v>
          </cell>
        </row>
        <row r="2344">
          <cell r="A2344" t="str">
            <v>Rakosniček</v>
          </cell>
        </row>
        <row r="2345">
          <cell r="A2345" t="str">
            <v>Monika</v>
          </cell>
        </row>
        <row r="2346">
          <cell r="A2346" t="str">
            <v>Krakonoš</v>
          </cell>
        </row>
        <row r="2347">
          <cell r="A2347" t="str">
            <v>Rakosniček</v>
          </cell>
        </row>
        <row r="2348">
          <cell r="A2348" t="str">
            <v>Pavel</v>
          </cell>
        </row>
        <row r="2349">
          <cell r="A2349" t="str">
            <v>Pavel</v>
          </cell>
        </row>
        <row r="2350">
          <cell r="A2350" t="str">
            <v>Rakosniček</v>
          </cell>
        </row>
        <row r="2351">
          <cell r="A2351" t="str">
            <v>Monika</v>
          </cell>
        </row>
        <row r="2352">
          <cell r="A2352" t="str">
            <v>Pavel</v>
          </cell>
        </row>
        <row r="2353">
          <cell r="A2353" t="str">
            <v>Pavel</v>
          </cell>
        </row>
        <row r="2354">
          <cell r="A2354" t="str">
            <v>Fantomas</v>
          </cell>
        </row>
        <row r="2355">
          <cell r="A2355" t="str">
            <v>Pavel</v>
          </cell>
        </row>
        <row r="2356">
          <cell r="A2356" t="str">
            <v>Rakosniček</v>
          </cell>
        </row>
        <row r="2357">
          <cell r="A2357" t="str">
            <v>Fantomas</v>
          </cell>
        </row>
        <row r="2358">
          <cell r="A2358" t="str">
            <v>Fantomas</v>
          </cell>
        </row>
        <row r="2359">
          <cell r="A2359" t="str">
            <v>Monika</v>
          </cell>
        </row>
        <row r="2360">
          <cell r="A2360" t="str">
            <v>Monika</v>
          </cell>
        </row>
        <row r="2361">
          <cell r="A2361" t="str">
            <v>Fantomas</v>
          </cell>
        </row>
        <row r="2362">
          <cell r="A2362" t="str">
            <v>Monika</v>
          </cell>
        </row>
        <row r="2363">
          <cell r="A2363" t="str">
            <v>Pavel</v>
          </cell>
        </row>
        <row r="2364">
          <cell r="A2364" t="str">
            <v>Rakosniček</v>
          </cell>
        </row>
        <row r="2365">
          <cell r="A2365" t="str">
            <v>Monika</v>
          </cell>
        </row>
        <row r="2366">
          <cell r="A2366" t="str">
            <v>Fantomas</v>
          </cell>
        </row>
        <row r="2367">
          <cell r="A2367" t="str">
            <v>Monika</v>
          </cell>
        </row>
        <row r="2368">
          <cell r="A2368" t="str">
            <v>Krakonoš</v>
          </cell>
        </row>
        <row r="2369">
          <cell r="A2369" t="str">
            <v>Krakonoš</v>
          </cell>
        </row>
        <row r="2370">
          <cell r="A2370" t="str">
            <v>Monika</v>
          </cell>
        </row>
        <row r="2371">
          <cell r="A2371" t="str">
            <v>Rakosniček</v>
          </cell>
        </row>
        <row r="2372">
          <cell r="A2372" t="str">
            <v>Pavel</v>
          </cell>
        </row>
        <row r="2373">
          <cell r="A2373" t="str">
            <v>Rakosniček</v>
          </cell>
        </row>
        <row r="2374">
          <cell r="A2374" t="str">
            <v>Pavel</v>
          </cell>
        </row>
        <row r="2375">
          <cell r="A2375" t="str">
            <v>Rakosniček</v>
          </cell>
        </row>
        <row r="2376">
          <cell r="A2376" t="str">
            <v>Fantomas</v>
          </cell>
        </row>
        <row r="2377">
          <cell r="A2377" t="str">
            <v>Rakosniček</v>
          </cell>
        </row>
        <row r="2378">
          <cell r="A2378" t="str">
            <v>Fantomas</v>
          </cell>
        </row>
        <row r="2379">
          <cell r="A2379" t="str">
            <v>Pavel</v>
          </cell>
        </row>
        <row r="2380">
          <cell r="A2380" t="str">
            <v>Fantomas</v>
          </cell>
        </row>
        <row r="2381">
          <cell r="A2381" t="str">
            <v>Pavel</v>
          </cell>
        </row>
        <row r="2382">
          <cell r="A2382" t="str">
            <v>Monika</v>
          </cell>
        </row>
        <row r="2383">
          <cell r="A2383" t="str">
            <v>Pavel</v>
          </cell>
        </row>
        <row r="2384">
          <cell r="A2384" t="str">
            <v>Monika</v>
          </cell>
        </row>
        <row r="2385">
          <cell r="A2385" t="str">
            <v>Monika</v>
          </cell>
        </row>
        <row r="2386">
          <cell r="A2386" t="str">
            <v>Fantomas</v>
          </cell>
        </row>
        <row r="2387">
          <cell r="A2387" t="str">
            <v>Fantomas</v>
          </cell>
        </row>
        <row r="2388">
          <cell r="A2388" t="str">
            <v>Pavel</v>
          </cell>
        </row>
        <row r="2389">
          <cell r="A2389" t="str">
            <v>Krakonoš</v>
          </cell>
        </row>
        <row r="2390">
          <cell r="A2390" t="str">
            <v>Krakonoš</v>
          </cell>
        </row>
        <row r="2391">
          <cell r="A2391" t="str">
            <v>Fantomas</v>
          </cell>
        </row>
        <row r="2392">
          <cell r="A2392" t="str">
            <v>Krakonoš</v>
          </cell>
        </row>
        <row r="2393">
          <cell r="A2393" t="str">
            <v>Monika</v>
          </cell>
        </row>
        <row r="2394">
          <cell r="A2394" t="str">
            <v>Pavel</v>
          </cell>
        </row>
        <row r="2395">
          <cell r="A2395" t="str">
            <v>Monika</v>
          </cell>
        </row>
        <row r="2396">
          <cell r="A2396" t="str">
            <v>Fantomas</v>
          </cell>
        </row>
        <row r="2397">
          <cell r="A2397" t="str">
            <v>Pavel</v>
          </cell>
        </row>
        <row r="2398">
          <cell r="A2398" t="str">
            <v>Fantomas</v>
          </cell>
        </row>
        <row r="2399">
          <cell r="A2399" t="str">
            <v>Fantomas</v>
          </cell>
        </row>
        <row r="2400">
          <cell r="A2400" t="str">
            <v>Rakosniček</v>
          </cell>
        </row>
        <row r="2401">
          <cell r="A2401" t="str">
            <v>Monika</v>
          </cell>
        </row>
        <row r="2402">
          <cell r="A2402" t="str">
            <v>Fantomas</v>
          </cell>
        </row>
        <row r="2403">
          <cell r="A2403" t="str">
            <v>Rakosniček</v>
          </cell>
        </row>
        <row r="2404">
          <cell r="A2404" t="str">
            <v>Pavel</v>
          </cell>
        </row>
        <row r="2405">
          <cell r="A2405" t="str">
            <v>Pavel</v>
          </cell>
        </row>
        <row r="2406">
          <cell r="A2406" t="str">
            <v>Fantomas</v>
          </cell>
        </row>
        <row r="2407">
          <cell r="A2407" t="str">
            <v>Monika</v>
          </cell>
        </row>
        <row r="2408">
          <cell r="A2408" t="str">
            <v>Pavel</v>
          </cell>
        </row>
        <row r="2409">
          <cell r="A2409" t="str">
            <v>Rakosniček</v>
          </cell>
        </row>
        <row r="2410">
          <cell r="A2410" t="str">
            <v>Krakonoš</v>
          </cell>
        </row>
        <row r="2411">
          <cell r="A2411" t="str">
            <v>Monika</v>
          </cell>
        </row>
        <row r="2412">
          <cell r="A2412" t="str">
            <v>Fantomas</v>
          </cell>
        </row>
        <row r="2413">
          <cell r="A2413" t="str">
            <v>Krakonoš</v>
          </cell>
        </row>
        <row r="2414">
          <cell r="A2414" t="str">
            <v>Rakosniček</v>
          </cell>
        </row>
        <row r="2415">
          <cell r="A2415" t="str">
            <v>Pavel</v>
          </cell>
        </row>
        <row r="2416">
          <cell r="A2416" t="str">
            <v>Krakonoš</v>
          </cell>
        </row>
        <row r="2417">
          <cell r="A2417" t="str">
            <v>Rakosniček</v>
          </cell>
        </row>
        <row r="2418">
          <cell r="A2418" t="str">
            <v>Monika</v>
          </cell>
        </row>
        <row r="2419">
          <cell r="A2419" t="str">
            <v>Monika</v>
          </cell>
        </row>
        <row r="2420">
          <cell r="A2420" t="str">
            <v>Pavel</v>
          </cell>
        </row>
        <row r="2421">
          <cell r="A2421" t="str">
            <v>Monika</v>
          </cell>
        </row>
        <row r="2422">
          <cell r="A2422" t="str">
            <v>Pavel</v>
          </cell>
        </row>
        <row r="2423">
          <cell r="A2423" t="str">
            <v>Monika</v>
          </cell>
        </row>
        <row r="2424">
          <cell r="A2424" t="str">
            <v>Krakonoš</v>
          </cell>
        </row>
        <row r="2425">
          <cell r="A2425" t="str">
            <v>Krakonoš</v>
          </cell>
        </row>
        <row r="2426">
          <cell r="A2426" t="str">
            <v>Pavel</v>
          </cell>
        </row>
        <row r="2427">
          <cell r="A2427" t="str">
            <v>Pavel</v>
          </cell>
        </row>
        <row r="2428">
          <cell r="A2428" t="str">
            <v>Monika</v>
          </cell>
        </row>
        <row r="2429">
          <cell r="A2429" t="str">
            <v>Pavel</v>
          </cell>
        </row>
        <row r="2430">
          <cell r="A2430" t="str">
            <v>Rakosniček</v>
          </cell>
        </row>
        <row r="2431">
          <cell r="A2431" t="str">
            <v>Fantomas</v>
          </cell>
        </row>
        <row r="2432">
          <cell r="A2432" t="str">
            <v>Monika</v>
          </cell>
        </row>
        <row r="2433">
          <cell r="A2433" t="str">
            <v>Monika</v>
          </cell>
        </row>
        <row r="2434">
          <cell r="A2434" t="str">
            <v>Rakosniček</v>
          </cell>
        </row>
        <row r="2435">
          <cell r="A2435" t="str">
            <v>Monika</v>
          </cell>
        </row>
        <row r="2436">
          <cell r="A2436" t="str">
            <v>Fantomas</v>
          </cell>
        </row>
        <row r="2437">
          <cell r="A2437" t="str">
            <v>Monika</v>
          </cell>
        </row>
        <row r="2438">
          <cell r="A2438" t="str">
            <v>Pavel</v>
          </cell>
        </row>
        <row r="2439">
          <cell r="A2439" t="str">
            <v>Monika</v>
          </cell>
        </row>
        <row r="2440">
          <cell r="A2440" t="str">
            <v>Rakosniček</v>
          </cell>
        </row>
        <row r="2441">
          <cell r="A2441" t="str">
            <v>Pavel</v>
          </cell>
        </row>
        <row r="2442">
          <cell r="A2442" t="str">
            <v>Fantomas</v>
          </cell>
        </row>
        <row r="2443">
          <cell r="A2443" t="str">
            <v>Pavel</v>
          </cell>
        </row>
        <row r="2444">
          <cell r="A2444" t="str">
            <v>Fantomas</v>
          </cell>
        </row>
        <row r="2445">
          <cell r="A2445" t="str">
            <v>Rakosniček</v>
          </cell>
        </row>
        <row r="2446">
          <cell r="A2446" t="str">
            <v>Pavel</v>
          </cell>
        </row>
        <row r="2447">
          <cell r="A2447" t="str">
            <v>Fantomas</v>
          </cell>
        </row>
        <row r="2448">
          <cell r="A2448" t="str">
            <v>Pavel</v>
          </cell>
        </row>
        <row r="2449">
          <cell r="A2449" t="str">
            <v>Monika</v>
          </cell>
        </row>
        <row r="2450">
          <cell r="A2450" t="str">
            <v>Rakosniček</v>
          </cell>
        </row>
        <row r="2451">
          <cell r="A2451" t="str">
            <v>Pavel</v>
          </cell>
        </row>
        <row r="2452">
          <cell r="A2452" t="str">
            <v>Fantomas</v>
          </cell>
        </row>
        <row r="2453">
          <cell r="A2453" t="str">
            <v>Rakosniček</v>
          </cell>
        </row>
        <row r="2454">
          <cell r="A2454" t="str">
            <v>Krakonoš</v>
          </cell>
        </row>
        <row r="2455">
          <cell r="A2455" t="str">
            <v>Krakonoš</v>
          </cell>
        </row>
        <row r="2456">
          <cell r="A2456" t="str">
            <v>Rakosniček</v>
          </cell>
        </row>
        <row r="2457">
          <cell r="A2457" t="str">
            <v>Pavel</v>
          </cell>
        </row>
        <row r="2458">
          <cell r="A2458" t="str">
            <v>Monika</v>
          </cell>
        </row>
        <row r="2459">
          <cell r="A2459" t="str">
            <v>Monika</v>
          </cell>
        </row>
        <row r="2460">
          <cell r="A2460" t="str">
            <v>Monika</v>
          </cell>
        </row>
        <row r="2461">
          <cell r="A2461" t="str">
            <v>Monika</v>
          </cell>
        </row>
        <row r="2462">
          <cell r="A2462" t="str">
            <v>Krakonoš</v>
          </cell>
        </row>
        <row r="2463">
          <cell r="A2463" t="str">
            <v>Krakonoš</v>
          </cell>
        </row>
        <row r="2464">
          <cell r="A2464" t="str">
            <v>Monika</v>
          </cell>
        </row>
        <row r="2465">
          <cell r="A2465" t="str">
            <v>Monika</v>
          </cell>
        </row>
        <row r="2466">
          <cell r="A2466" t="str">
            <v>Fantomas</v>
          </cell>
        </row>
        <row r="2467">
          <cell r="A2467" t="str">
            <v>Fantomas</v>
          </cell>
        </row>
        <row r="2468">
          <cell r="A2468" t="str">
            <v>Fantomas</v>
          </cell>
        </row>
        <row r="2469">
          <cell r="A2469" t="str">
            <v>Monika</v>
          </cell>
        </row>
        <row r="2470">
          <cell r="A2470" t="str">
            <v>Monika</v>
          </cell>
        </row>
        <row r="2471">
          <cell r="A2471" t="str">
            <v>Fantomas</v>
          </cell>
        </row>
        <row r="2472">
          <cell r="A2472" t="str">
            <v>Krakonoš</v>
          </cell>
        </row>
        <row r="2473">
          <cell r="A2473" t="str">
            <v>Fantomas</v>
          </cell>
        </row>
        <row r="2474">
          <cell r="A2474" t="str">
            <v>Rakosniček</v>
          </cell>
        </row>
        <row r="2475">
          <cell r="A2475" t="str">
            <v>Pavel</v>
          </cell>
        </row>
        <row r="2476">
          <cell r="A2476" t="str">
            <v>Pavel</v>
          </cell>
        </row>
        <row r="2477">
          <cell r="A2477" t="str">
            <v>Rakosniček</v>
          </cell>
        </row>
        <row r="2478">
          <cell r="A2478" t="str">
            <v>Rakosniček</v>
          </cell>
        </row>
        <row r="2479">
          <cell r="A2479" t="str">
            <v>Rakosniček</v>
          </cell>
        </row>
        <row r="2480">
          <cell r="A2480" t="str">
            <v>Rakosniček</v>
          </cell>
        </row>
        <row r="2481">
          <cell r="A2481" t="str">
            <v>Krakonoš</v>
          </cell>
        </row>
        <row r="2482">
          <cell r="A2482" t="str">
            <v>Pavel</v>
          </cell>
        </row>
        <row r="2483">
          <cell r="A2483" t="str">
            <v>Krakonoš</v>
          </cell>
        </row>
        <row r="2484">
          <cell r="A2484" t="str">
            <v>Pavel</v>
          </cell>
        </row>
        <row r="2485">
          <cell r="A2485" t="str">
            <v>Monika</v>
          </cell>
        </row>
        <row r="2486">
          <cell r="A2486" t="str">
            <v>Rakosniček</v>
          </cell>
        </row>
        <row r="2487">
          <cell r="A2487" t="str">
            <v>Krakonoš</v>
          </cell>
        </row>
        <row r="2488">
          <cell r="A2488" t="str">
            <v>Fantomas</v>
          </cell>
        </row>
        <row r="2489">
          <cell r="A2489" t="str">
            <v>Krakonoš</v>
          </cell>
        </row>
        <row r="2490">
          <cell r="A2490" t="str">
            <v>Krakonoš</v>
          </cell>
        </row>
        <row r="2491">
          <cell r="A2491" t="str">
            <v>Fantomas</v>
          </cell>
        </row>
        <row r="2492">
          <cell r="A2492" t="str">
            <v>Fantomas</v>
          </cell>
        </row>
        <row r="2493">
          <cell r="A2493" t="str">
            <v>Monika</v>
          </cell>
        </row>
        <row r="2494">
          <cell r="A2494" t="str">
            <v>Fantomas</v>
          </cell>
        </row>
        <row r="2495">
          <cell r="A2495" t="str">
            <v>Fantomas</v>
          </cell>
        </row>
        <row r="2496">
          <cell r="A2496" t="str">
            <v>Krakonoš</v>
          </cell>
        </row>
        <row r="2497">
          <cell r="A2497" t="str">
            <v>Monika</v>
          </cell>
        </row>
        <row r="2498">
          <cell r="A2498" t="str">
            <v>Pavel</v>
          </cell>
        </row>
        <row r="2499">
          <cell r="A2499" t="str">
            <v>Fantomas</v>
          </cell>
        </row>
        <row r="2500">
          <cell r="A2500" t="str">
            <v>Monika</v>
          </cell>
        </row>
        <row r="2501">
          <cell r="A2501" t="str">
            <v>Krakonoš</v>
          </cell>
        </row>
        <row r="2502">
          <cell r="A2502" t="str">
            <v>Fantomas</v>
          </cell>
        </row>
        <row r="2503">
          <cell r="A2503" t="str">
            <v>Rakosniček</v>
          </cell>
        </row>
        <row r="2504">
          <cell r="A2504" t="str">
            <v>Rakosniček</v>
          </cell>
        </row>
        <row r="2505">
          <cell r="A2505" t="str">
            <v>Monika</v>
          </cell>
        </row>
        <row r="2506">
          <cell r="A2506" t="str">
            <v>Rakosniček</v>
          </cell>
        </row>
        <row r="2507">
          <cell r="A2507" t="str">
            <v>Monika</v>
          </cell>
        </row>
        <row r="2508">
          <cell r="A2508" t="str">
            <v>Pavel</v>
          </cell>
        </row>
        <row r="2509">
          <cell r="A2509" t="str">
            <v>Monika</v>
          </cell>
        </row>
        <row r="2510">
          <cell r="A2510" t="str">
            <v>Krakonoš</v>
          </cell>
        </row>
        <row r="2511">
          <cell r="A2511" t="str">
            <v>Rakosniček</v>
          </cell>
        </row>
        <row r="2512">
          <cell r="A2512" t="str">
            <v>Krakonoš</v>
          </cell>
        </row>
        <row r="2513">
          <cell r="A2513" t="str">
            <v>Fantomas</v>
          </cell>
        </row>
        <row r="2514">
          <cell r="A2514" t="str">
            <v>Krakonoš</v>
          </cell>
        </row>
        <row r="2515">
          <cell r="A2515" t="str">
            <v>Fantomas</v>
          </cell>
        </row>
        <row r="2516">
          <cell r="A2516" t="str">
            <v>Krakonoš</v>
          </cell>
        </row>
        <row r="2517">
          <cell r="A2517" t="str">
            <v>Fantomas</v>
          </cell>
        </row>
        <row r="2518">
          <cell r="A2518" t="str">
            <v>Krakonoš</v>
          </cell>
        </row>
        <row r="2519">
          <cell r="A2519" t="str">
            <v>Rakosniček</v>
          </cell>
        </row>
        <row r="2520">
          <cell r="A2520" t="str">
            <v>Rakosniček</v>
          </cell>
        </row>
        <row r="2521">
          <cell r="A2521" t="str">
            <v>Rakosniček</v>
          </cell>
        </row>
        <row r="2522">
          <cell r="A2522" t="str">
            <v>Pavel</v>
          </cell>
        </row>
        <row r="2523">
          <cell r="A2523" t="str">
            <v>Monika</v>
          </cell>
        </row>
        <row r="2524">
          <cell r="A2524" t="str">
            <v>Fantomas</v>
          </cell>
        </row>
        <row r="2525">
          <cell r="A2525" t="str">
            <v>Pavel</v>
          </cell>
        </row>
        <row r="2526">
          <cell r="A2526" t="str">
            <v>Fantomas</v>
          </cell>
        </row>
        <row r="2527">
          <cell r="A2527" t="str">
            <v>Rakosniček</v>
          </cell>
        </row>
        <row r="2528">
          <cell r="A2528" t="str">
            <v>Pavel</v>
          </cell>
        </row>
        <row r="2529">
          <cell r="A2529" t="str">
            <v>Krakonoš</v>
          </cell>
        </row>
        <row r="2530">
          <cell r="A2530" t="str">
            <v>Krakonoš</v>
          </cell>
        </row>
        <row r="2531">
          <cell r="A2531" t="str">
            <v>Krakonoš</v>
          </cell>
        </row>
        <row r="2532">
          <cell r="A2532" t="str">
            <v>Fantomas</v>
          </cell>
        </row>
        <row r="2533">
          <cell r="A2533" t="str">
            <v>Rakosniček</v>
          </cell>
        </row>
        <row r="2534">
          <cell r="A2534" t="str">
            <v>Fantomas</v>
          </cell>
        </row>
        <row r="2535">
          <cell r="A2535" t="str">
            <v>Krakonoš</v>
          </cell>
        </row>
        <row r="2536">
          <cell r="A2536" t="str">
            <v>Krakonoš</v>
          </cell>
        </row>
        <row r="2537">
          <cell r="A2537" t="str">
            <v>Monika</v>
          </cell>
        </row>
        <row r="2538">
          <cell r="A2538" t="str">
            <v>Pavel</v>
          </cell>
        </row>
        <row r="2539">
          <cell r="A2539" t="str">
            <v>Rakosniček</v>
          </cell>
        </row>
        <row r="2540">
          <cell r="A2540" t="str">
            <v>Fantomas</v>
          </cell>
        </row>
        <row r="2541">
          <cell r="A2541" t="str">
            <v>Pavel</v>
          </cell>
        </row>
        <row r="2542">
          <cell r="A2542" t="str">
            <v>Rakosniček</v>
          </cell>
        </row>
        <row r="2543">
          <cell r="A2543" t="str">
            <v>Pavel</v>
          </cell>
        </row>
        <row r="2544">
          <cell r="A2544" t="str">
            <v>Rakosniček</v>
          </cell>
        </row>
        <row r="2545">
          <cell r="A2545" t="str">
            <v>Rakosniček</v>
          </cell>
        </row>
        <row r="2546">
          <cell r="A2546" t="str">
            <v>Krakonoš</v>
          </cell>
        </row>
        <row r="2547">
          <cell r="A2547" t="str">
            <v>Fantomas</v>
          </cell>
        </row>
        <row r="2548">
          <cell r="A2548" t="str">
            <v>Fantomas</v>
          </cell>
        </row>
        <row r="2549">
          <cell r="A2549" t="str">
            <v>Rakosniček</v>
          </cell>
        </row>
        <row r="2550">
          <cell r="A2550" t="str">
            <v>Krakonoš</v>
          </cell>
        </row>
        <row r="2551">
          <cell r="A2551" t="str">
            <v>Monika</v>
          </cell>
        </row>
        <row r="2552">
          <cell r="A2552" t="str">
            <v>Krakonoš</v>
          </cell>
        </row>
        <row r="2553">
          <cell r="A2553" t="str">
            <v>Monika</v>
          </cell>
        </row>
        <row r="2554">
          <cell r="A2554" t="str">
            <v>Fantomas</v>
          </cell>
        </row>
        <row r="2555">
          <cell r="A2555" t="str">
            <v>Krakonoš</v>
          </cell>
        </row>
        <row r="2556">
          <cell r="A2556" t="str">
            <v>Pavel</v>
          </cell>
        </row>
        <row r="2557">
          <cell r="A2557" t="str">
            <v>Krakonoš</v>
          </cell>
        </row>
        <row r="2558">
          <cell r="A2558" t="str">
            <v>Fantomas</v>
          </cell>
        </row>
        <row r="2559">
          <cell r="A2559" t="str">
            <v>Rakosniček</v>
          </cell>
        </row>
        <row r="2560">
          <cell r="A2560" t="str">
            <v>Rakosniček</v>
          </cell>
        </row>
        <row r="2561">
          <cell r="A2561" t="str">
            <v>Monika</v>
          </cell>
        </row>
        <row r="2562">
          <cell r="A2562" t="str">
            <v>Monika</v>
          </cell>
        </row>
        <row r="2563">
          <cell r="A2563" t="str">
            <v>Rakosniček</v>
          </cell>
        </row>
        <row r="2564">
          <cell r="A2564" t="str">
            <v>Krakonoš</v>
          </cell>
        </row>
        <row r="2565">
          <cell r="A2565" t="str">
            <v>Fantomas</v>
          </cell>
        </row>
        <row r="2566">
          <cell r="A2566" t="str">
            <v>Krakonoš</v>
          </cell>
        </row>
        <row r="2567">
          <cell r="A2567" t="str">
            <v>Fantomas</v>
          </cell>
        </row>
        <row r="2568">
          <cell r="A2568" t="str">
            <v>Fantomas</v>
          </cell>
        </row>
        <row r="2569">
          <cell r="A2569" t="str">
            <v>Monika</v>
          </cell>
        </row>
        <row r="2570">
          <cell r="A2570" t="str">
            <v>Fantomas</v>
          </cell>
        </row>
        <row r="2571">
          <cell r="A2571" t="str">
            <v>Krakonoš</v>
          </cell>
        </row>
        <row r="2572">
          <cell r="A2572" t="str">
            <v>Fantomas</v>
          </cell>
        </row>
        <row r="2573">
          <cell r="A2573" t="str">
            <v>Rakosniček</v>
          </cell>
        </row>
        <row r="2574">
          <cell r="A2574" t="str">
            <v>Pavel</v>
          </cell>
        </row>
        <row r="2575">
          <cell r="A2575" t="str">
            <v>Krakonoš</v>
          </cell>
        </row>
        <row r="2576">
          <cell r="A2576" t="str">
            <v>Fantomas</v>
          </cell>
        </row>
        <row r="2577">
          <cell r="A2577" t="str">
            <v>Monika</v>
          </cell>
        </row>
        <row r="2578">
          <cell r="A2578" t="str">
            <v>Fantomas</v>
          </cell>
        </row>
        <row r="2579">
          <cell r="A2579" t="str">
            <v>Rakosniček</v>
          </cell>
        </row>
        <row r="2580">
          <cell r="A2580" t="str">
            <v>Rakosniček</v>
          </cell>
        </row>
        <row r="2581">
          <cell r="A2581" t="str">
            <v>Pavel</v>
          </cell>
        </row>
        <row r="2582">
          <cell r="A2582" t="str">
            <v>Fantomas</v>
          </cell>
        </row>
        <row r="2583">
          <cell r="A2583" t="str">
            <v>Rakosniček</v>
          </cell>
        </row>
        <row r="2584">
          <cell r="A2584" t="str">
            <v>Monika</v>
          </cell>
        </row>
        <row r="2585">
          <cell r="A2585" t="str">
            <v>Monika</v>
          </cell>
        </row>
        <row r="2586">
          <cell r="A2586" t="str">
            <v>Fantomas</v>
          </cell>
        </row>
        <row r="2587">
          <cell r="A2587" t="str">
            <v>Monika</v>
          </cell>
        </row>
        <row r="2588">
          <cell r="A2588" t="str">
            <v>Rakosniček</v>
          </cell>
        </row>
        <row r="2589">
          <cell r="A2589" t="str">
            <v>Krakonoš</v>
          </cell>
        </row>
        <row r="2590">
          <cell r="A2590" t="str">
            <v>Monika</v>
          </cell>
        </row>
        <row r="2591">
          <cell r="A2591" t="str">
            <v>Pavel</v>
          </cell>
        </row>
        <row r="2592">
          <cell r="A2592" t="str">
            <v>Rakosniček</v>
          </cell>
        </row>
        <row r="2593">
          <cell r="A2593" t="str">
            <v>Rakosniček</v>
          </cell>
        </row>
        <row r="2594">
          <cell r="A2594" t="str">
            <v>Krakonoš</v>
          </cell>
        </row>
        <row r="2595">
          <cell r="A2595" t="str">
            <v>Pavel</v>
          </cell>
        </row>
        <row r="2596">
          <cell r="A2596" t="str">
            <v>Pavel</v>
          </cell>
        </row>
        <row r="2597">
          <cell r="A2597" t="str">
            <v>Monika</v>
          </cell>
        </row>
        <row r="2598">
          <cell r="A2598" t="str">
            <v>Fantomas</v>
          </cell>
        </row>
        <row r="2599">
          <cell r="A2599" t="str">
            <v>Rakosniček</v>
          </cell>
        </row>
        <row r="2600">
          <cell r="A2600" t="str">
            <v>Rakosniček</v>
          </cell>
        </row>
        <row r="2601">
          <cell r="A2601" t="str">
            <v>Krakonoš</v>
          </cell>
        </row>
        <row r="2602">
          <cell r="A2602" t="str">
            <v>Fantomas</v>
          </cell>
        </row>
        <row r="2603">
          <cell r="A2603" t="str">
            <v>Pavel</v>
          </cell>
        </row>
        <row r="2604">
          <cell r="A2604" t="str">
            <v>Pavel</v>
          </cell>
        </row>
        <row r="2605">
          <cell r="A2605" t="str">
            <v>Rakosniček</v>
          </cell>
        </row>
        <row r="2606">
          <cell r="A2606" t="str">
            <v>Pavel</v>
          </cell>
        </row>
        <row r="2607">
          <cell r="A2607" t="str">
            <v>Pavel</v>
          </cell>
        </row>
        <row r="2608">
          <cell r="A2608" t="str">
            <v>Rakosniček</v>
          </cell>
        </row>
        <row r="2609">
          <cell r="A2609" t="str">
            <v>Pavel</v>
          </cell>
        </row>
        <row r="2610">
          <cell r="A2610" t="str">
            <v>Rakosniček</v>
          </cell>
        </row>
        <row r="2611">
          <cell r="A2611" t="str">
            <v>Monika</v>
          </cell>
        </row>
        <row r="2612">
          <cell r="A2612" t="str">
            <v>Rakosniček</v>
          </cell>
        </row>
        <row r="2613">
          <cell r="A2613" t="str">
            <v>Pavel</v>
          </cell>
        </row>
        <row r="2614">
          <cell r="A2614" t="str">
            <v>Pavel</v>
          </cell>
        </row>
        <row r="2615">
          <cell r="A2615" t="str">
            <v>Rakosniček</v>
          </cell>
        </row>
        <row r="2616">
          <cell r="A2616" t="str">
            <v>Fantomas</v>
          </cell>
        </row>
        <row r="2617">
          <cell r="A2617" t="str">
            <v>Monika</v>
          </cell>
        </row>
        <row r="2618">
          <cell r="A2618" t="str">
            <v>Monika</v>
          </cell>
        </row>
        <row r="2619">
          <cell r="A2619" t="str">
            <v>Rakosniček</v>
          </cell>
        </row>
        <row r="2620">
          <cell r="A2620" t="str">
            <v>Fantomas</v>
          </cell>
        </row>
        <row r="2621">
          <cell r="A2621" t="str">
            <v>Monika</v>
          </cell>
        </row>
        <row r="2622">
          <cell r="A2622" t="str">
            <v>Rakosniček</v>
          </cell>
        </row>
        <row r="2623">
          <cell r="A2623" t="str">
            <v>Pavel</v>
          </cell>
        </row>
        <row r="2624">
          <cell r="A2624" t="str">
            <v>Rakosniček</v>
          </cell>
        </row>
        <row r="2625">
          <cell r="A2625" t="str">
            <v>Fantomas</v>
          </cell>
        </row>
        <row r="2626">
          <cell r="A2626" t="str">
            <v>Rakosniček</v>
          </cell>
        </row>
        <row r="2627">
          <cell r="A2627" t="str">
            <v>Monika</v>
          </cell>
        </row>
        <row r="2628">
          <cell r="A2628" t="str">
            <v>Pavel</v>
          </cell>
        </row>
        <row r="2629">
          <cell r="A2629" t="str">
            <v>Fantomas</v>
          </cell>
        </row>
        <row r="2630">
          <cell r="A2630" t="str">
            <v>Krakonoš</v>
          </cell>
        </row>
        <row r="2631">
          <cell r="A2631" t="str">
            <v>Rakosniček</v>
          </cell>
        </row>
        <row r="2632">
          <cell r="A2632" t="str">
            <v>Krakonoš</v>
          </cell>
        </row>
        <row r="2633">
          <cell r="A2633" t="str">
            <v>Pavel</v>
          </cell>
        </row>
        <row r="2634">
          <cell r="A2634" t="str">
            <v>Rakosniček</v>
          </cell>
        </row>
        <row r="2635">
          <cell r="A2635" t="str">
            <v>Monika</v>
          </cell>
        </row>
        <row r="2636">
          <cell r="A2636" t="str">
            <v>Pavel</v>
          </cell>
        </row>
        <row r="2637">
          <cell r="A2637" t="str">
            <v>Rakosniček</v>
          </cell>
        </row>
        <row r="2638">
          <cell r="A2638" t="str">
            <v>Monika</v>
          </cell>
        </row>
        <row r="2639">
          <cell r="A2639" t="str">
            <v>Krakonoš</v>
          </cell>
        </row>
        <row r="2640">
          <cell r="A2640" t="str">
            <v>Rakosniček</v>
          </cell>
        </row>
        <row r="2641">
          <cell r="A2641" t="str">
            <v>Krakonoš</v>
          </cell>
        </row>
        <row r="2642">
          <cell r="A2642" t="str">
            <v>Pavel</v>
          </cell>
        </row>
        <row r="2643">
          <cell r="A2643" t="str">
            <v>Krakonoš</v>
          </cell>
        </row>
        <row r="2644">
          <cell r="A2644" t="str">
            <v>Krakonoš</v>
          </cell>
        </row>
        <row r="2645">
          <cell r="A2645" t="str">
            <v>Rakosniček</v>
          </cell>
        </row>
        <row r="2646">
          <cell r="A2646" t="str">
            <v>Krakonoš</v>
          </cell>
        </row>
        <row r="2647">
          <cell r="A2647" t="str">
            <v>Krakonoš</v>
          </cell>
        </row>
        <row r="2648">
          <cell r="A2648" t="str">
            <v>Pavel</v>
          </cell>
        </row>
        <row r="2649">
          <cell r="A2649" t="str">
            <v>Pavel</v>
          </cell>
        </row>
        <row r="2650">
          <cell r="A2650" t="str">
            <v>Pavel</v>
          </cell>
        </row>
        <row r="2651">
          <cell r="A2651" t="str">
            <v>Krakonoš</v>
          </cell>
        </row>
        <row r="2652">
          <cell r="A2652" t="str">
            <v>Rakosniček</v>
          </cell>
        </row>
        <row r="2653">
          <cell r="A2653" t="str">
            <v>Rakosniček</v>
          </cell>
        </row>
        <row r="2654">
          <cell r="A2654" t="str">
            <v>Krakonoš</v>
          </cell>
        </row>
        <row r="2655">
          <cell r="A2655" t="str">
            <v>Rakosniček</v>
          </cell>
        </row>
        <row r="2656">
          <cell r="A2656" t="str">
            <v>Fantomas</v>
          </cell>
        </row>
        <row r="2657">
          <cell r="A2657" t="str">
            <v>Rakosniček</v>
          </cell>
        </row>
        <row r="2658">
          <cell r="A2658" t="str">
            <v>Monika</v>
          </cell>
        </row>
        <row r="2659">
          <cell r="A2659" t="str">
            <v>Rakosniček</v>
          </cell>
        </row>
        <row r="2660">
          <cell r="A2660" t="str">
            <v>Fantomas</v>
          </cell>
        </row>
        <row r="2661">
          <cell r="A2661" t="str">
            <v>Krakonoš</v>
          </cell>
        </row>
        <row r="2662">
          <cell r="A2662" t="str">
            <v>Rakosniček</v>
          </cell>
        </row>
        <row r="2663">
          <cell r="A2663" t="str">
            <v>Monika</v>
          </cell>
        </row>
        <row r="2664">
          <cell r="A2664" t="str">
            <v>Krakonoš</v>
          </cell>
        </row>
        <row r="2665">
          <cell r="A2665" t="str">
            <v>Pavel</v>
          </cell>
        </row>
        <row r="2666">
          <cell r="A2666" t="str">
            <v>Krakonoš</v>
          </cell>
        </row>
        <row r="2667">
          <cell r="A2667" t="str">
            <v>Pavel</v>
          </cell>
        </row>
        <row r="2668">
          <cell r="A2668" t="str">
            <v>Krakonoš</v>
          </cell>
        </row>
        <row r="2669">
          <cell r="A2669" t="str">
            <v>Krakonoš</v>
          </cell>
        </row>
        <row r="2670">
          <cell r="A2670" t="str">
            <v>Fantomas</v>
          </cell>
        </row>
        <row r="2671">
          <cell r="A2671" t="str">
            <v>Rakosniček</v>
          </cell>
        </row>
        <row r="2672">
          <cell r="A2672" t="str">
            <v>Pavel</v>
          </cell>
        </row>
        <row r="2673">
          <cell r="A2673" t="str">
            <v>Monika</v>
          </cell>
        </row>
        <row r="2674">
          <cell r="A2674" t="str">
            <v>Krakonoš</v>
          </cell>
        </row>
        <row r="2675">
          <cell r="A2675" t="str">
            <v>Monika</v>
          </cell>
        </row>
        <row r="2676">
          <cell r="A2676" t="str">
            <v>Krakonoš</v>
          </cell>
        </row>
        <row r="2677">
          <cell r="A2677" t="str">
            <v>Fantomas</v>
          </cell>
        </row>
        <row r="2678">
          <cell r="A2678" t="str">
            <v>Pavel</v>
          </cell>
        </row>
        <row r="2679">
          <cell r="A2679" t="str">
            <v>Krakonoš</v>
          </cell>
        </row>
        <row r="2680">
          <cell r="A2680" t="str">
            <v>Krakonoš</v>
          </cell>
        </row>
        <row r="2681">
          <cell r="A2681" t="str">
            <v>Pavel</v>
          </cell>
        </row>
        <row r="2682">
          <cell r="A2682" t="str">
            <v>Krakonoš</v>
          </cell>
        </row>
        <row r="2683">
          <cell r="A2683" t="str">
            <v>Rakosniček</v>
          </cell>
        </row>
        <row r="2684">
          <cell r="A2684" t="str">
            <v>Fantomas</v>
          </cell>
        </row>
        <row r="2685">
          <cell r="A2685" t="str">
            <v>Krakonoš</v>
          </cell>
        </row>
        <row r="2686">
          <cell r="A2686" t="str">
            <v>Krakonoš</v>
          </cell>
        </row>
        <row r="2687">
          <cell r="A2687" t="str">
            <v>Fantomas</v>
          </cell>
        </row>
        <row r="2688">
          <cell r="A2688" t="str">
            <v>Fantomas</v>
          </cell>
        </row>
        <row r="2689">
          <cell r="A2689" t="str">
            <v>Monika</v>
          </cell>
        </row>
        <row r="2690">
          <cell r="A2690" t="str">
            <v>Fantomas</v>
          </cell>
        </row>
        <row r="2691">
          <cell r="A2691" t="str">
            <v>Fantomas</v>
          </cell>
        </row>
        <row r="2692">
          <cell r="A2692" t="str">
            <v>Pavel</v>
          </cell>
        </row>
        <row r="2693">
          <cell r="A2693" t="str">
            <v>Pavel</v>
          </cell>
        </row>
        <row r="2694">
          <cell r="A2694" t="str">
            <v>Monika</v>
          </cell>
        </row>
        <row r="2695">
          <cell r="A2695" t="str">
            <v>Fantomas</v>
          </cell>
        </row>
        <row r="2696">
          <cell r="A2696" t="str">
            <v>Krakonoš</v>
          </cell>
        </row>
        <row r="2697">
          <cell r="A2697" t="str">
            <v>Monika</v>
          </cell>
        </row>
        <row r="2698">
          <cell r="A2698" t="str">
            <v>Monika</v>
          </cell>
        </row>
        <row r="2699">
          <cell r="A2699" t="str">
            <v>Rakosniček</v>
          </cell>
        </row>
        <row r="2700">
          <cell r="A2700" t="str">
            <v>Fantomas</v>
          </cell>
        </row>
        <row r="2701">
          <cell r="A2701" t="str">
            <v>Fantomas</v>
          </cell>
        </row>
        <row r="2702">
          <cell r="A2702" t="str">
            <v>Fantomas</v>
          </cell>
        </row>
        <row r="2703">
          <cell r="A2703" t="str">
            <v>Krakonoš</v>
          </cell>
        </row>
        <row r="2704">
          <cell r="A2704" t="str">
            <v>Rakosniček</v>
          </cell>
        </row>
        <row r="2705">
          <cell r="A2705" t="str">
            <v>Rakosniček</v>
          </cell>
        </row>
        <row r="2706">
          <cell r="A2706" t="str">
            <v>Pavel</v>
          </cell>
        </row>
        <row r="2707">
          <cell r="A2707" t="str">
            <v>Pavel</v>
          </cell>
        </row>
        <row r="2708">
          <cell r="A2708" t="str">
            <v>Monika</v>
          </cell>
        </row>
        <row r="2709">
          <cell r="A2709" t="str">
            <v>Pavel</v>
          </cell>
        </row>
        <row r="2710">
          <cell r="A2710" t="str">
            <v>Monika</v>
          </cell>
        </row>
        <row r="2711">
          <cell r="A2711" t="str">
            <v>Fantomas</v>
          </cell>
        </row>
        <row r="2712">
          <cell r="A2712" t="str">
            <v>Monika</v>
          </cell>
        </row>
        <row r="2713">
          <cell r="A2713" t="str">
            <v>Krakonoš</v>
          </cell>
        </row>
        <row r="2714">
          <cell r="A2714" t="str">
            <v>Pavel</v>
          </cell>
        </row>
        <row r="2715">
          <cell r="A2715" t="str">
            <v>Monika</v>
          </cell>
        </row>
        <row r="2716">
          <cell r="A2716" t="str">
            <v>Krakonoš</v>
          </cell>
        </row>
        <row r="2717">
          <cell r="A2717" t="str">
            <v>Pavel</v>
          </cell>
        </row>
        <row r="2718">
          <cell r="A2718" t="str">
            <v>Krakonoš</v>
          </cell>
        </row>
        <row r="2719">
          <cell r="A2719" t="str">
            <v>Krakonoš</v>
          </cell>
        </row>
        <row r="2720">
          <cell r="A2720" t="str">
            <v>Fantomas</v>
          </cell>
        </row>
        <row r="2721">
          <cell r="A2721" t="str">
            <v>Monika</v>
          </cell>
        </row>
        <row r="2722">
          <cell r="A2722" t="str">
            <v>Rakosniček</v>
          </cell>
        </row>
        <row r="2723">
          <cell r="A2723" t="str">
            <v>Krakonoš</v>
          </cell>
        </row>
        <row r="2724">
          <cell r="A2724" t="str">
            <v>Pavel</v>
          </cell>
        </row>
        <row r="2725">
          <cell r="A2725" t="str">
            <v>Krakonoš</v>
          </cell>
        </row>
        <row r="2726">
          <cell r="A2726" t="str">
            <v>Krakonoš</v>
          </cell>
        </row>
        <row r="2727">
          <cell r="A2727" t="str">
            <v>Rakosniček</v>
          </cell>
        </row>
        <row r="2728">
          <cell r="A2728" t="str">
            <v>Rakosniček</v>
          </cell>
        </row>
        <row r="2729">
          <cell r="A2729" t="str">
            <v>Fantomas</v>
          </cell>
        </row>
        <row r="2730">
          <cell r="A2730" t="str">
            <v>Fantomas</v>
          </cell>
        </row>
        <row r="2731">
          <cell r="A2731" t="str">
            <v>Krakonoš</v>
          </cell>
        </row>
        <row r="2732">
          <cell r="A2732" t="str">
            <v>Fantomas</v>
          </cell>
        </row>
        <row r="2733">
          <cell r="A2733" t="str">
            <v>Rakosniček</v>
          </cell>
        </row>
        <row r="2734">
          <cell r="A2734" t="str">
            <v>Rakosniček</v>
          </cell>
        </row>
        <row r="2735">
          <cell r="A2735" t="str">
            <v>Rakosniček</v>
          </cell>
        </row>
        <row r="2736">
          <cell r="A2736" t="str">
            <v>Fantomas</v>
          </cell>
        </row>
        <row r="2737">
          <cell r="A2737" t="str">
            <v>Krakonoš</v>
          </cell>
        </row>
        <row r="2738">
          <cell r="A2738" t="str">
            <v>Krakonoš</v>
          </cell>
        </row>
        <row r="2739">
          <cell r="A2739" t="str">
            <v>Fantomas</v>
          </cell>
        </row>
        <row r="2740">
          <cell r="A2740" t="str">
            <v>Rakosniček</v>
          </cell>
        </row>
        <row r="2741">
          <cell r="A2741" t="str">
            <v>Fantomas</v>
          </cell>
        </row>
        <row r="2742">
          <cell r="A2742" t="str">
            <v>Pavel</v>
          </cell>
        </row>
        <row r="2743">
          <cell r="A2743" t="str">
            <v>Rakosniček</v>
          </cell>
        </row>
        <row r="2744">
          <cell r="A2744" t="str">
            <v>Fantomas</v>
          </cell>
        </row>
        <row r="2745">
          <cell r="A2745" t="str">
            <v>Monika</v>
          </cell>
        </row>
        <row r="2746">
          <cell r="A2746" t="str">
            <v>Rakosniček</v>
          </cell>
        </row>
        <row r="2747">
          <cell r="A2747" t="str">
            <v>Pavel</v>
          </cell>
        </row>
        <row r="2748">
          <cell r="A2748" t="str">
            <v>Krakonoš</v>
          </cell>
        </row>
        <row r="2749">
          <cell r="A2749" t="str">
            <v>Monika</v>
          </cell>
        </row>
        <row r="2750">
          <cell r="A2750" t="str">
            <v>Pavel</v>
          </cell>
        </row>
        <row r="2751">
          <cell r="A2751" t="str">
            <v>Rakosniček</v>
          </cell>
        </row>
        <row r="2752">
          <cell r="A2752" t="str">
            <v>Pavel</v>
          </cell>
        </row>
        <row r="2753">
          <cell r="A2753" t="str">
            <v>Rakosniček</v>
          </cell>
        </row>
        <row r="2754">
          <cell r="A2754" t="str">
            <v>Fantomas</v>
          </cell>
        </row>
        <row r="2755">
          <cell r="A2755" t="str">
            <v>Fantomas</v>
          </cell>
        </row>
        <row r="2756">
          <cell r="A2756" t="str">
            <v>Fantomas</v>
          </cell>
        </row>
        <row r="2757">
          <cell r="A2757" t="str">
            <v>Pavel</v>
          </cell>
        </row>
        <row r="2758">
          <cell r="A2758" t="str">
            <v>Krakonoš</v>
          </cell>
        </row>
        <row r="2759">
          <cell r="A2759" t="str">
            <v>Rakosniček</v>
          </cell>
        </row>
        <row r="2760">
          <cell r="A2760" t="str">
            <v>Monika</v>
          </cell>
        </row>
        <row r="2761">
          <cell r="A2761" t="str">
            <v>Rakosniček</v>
          </cell>
        </row>
        <row r="2762">
          <cell r="A2762" t="str">
            <v>Rakosniček</v>
          </cell>
        </row>
        <row r="2763">
          <cell r="A2763" t="str">
            <v>Krakonoš</v>
          </cell>
        </row>
        <row r="2764">
          <cell r="A2764" t="str">
            <v>Rakosniček</v>
          </cell>
        </row>
        <row r="2765">
          <cell r="A2765" t="str">
            <v>Krakonoš</v>
          </cell>
        </row>
        <row r="2766">
          <cell r="A2766" t="str">
            <v>Pavel</v>
          </cell>
        </row>
        <row r="2767">
          <cell r="A2767" t="str">
            <v>Pavel</v>
          </cell>
        </row>
        <row r="2768">
          <cell r="A2768" t="str">
            <v>Monika</v>
          </cell>
        </row>
        <row r="2769">
          <cell r="A2769" t="str">
            <v>Krakonoš</v>
          </cell>
        </row>
        <row r="2770">
          <cell r="A2770" t="str">
            <v>Fantomas</v>
          </cell>
        </row>
        <row r="2771">
          <cell r="A2771" t="str">
            <v>Monika</v>
          </cell>
        </row>
        <row r="2772">
          <cell r="A2772" t="str">
            <v>Rakosniček</v>
          </cell>
        </row>
        <row r="2773">
          <cell r="A2773" t="str">
            <v>Rakosniček</v>
          </cell>
        </row>
        <row r="2774">
          <cell r="A2774" t="str">
            <v>Rakosniček</v>
          </cell>
        </row>
        <row r="2775">
          <cell r="A2775" t="str">
            <v>Krakonoš</v>
          </cell>
        </row>
        <row r="2776">
          <cell r="A2776" t="str">
            <v>Monika</v>
          </cell>
        </row>
        <row r="2777">
          <cell r="A2777" t="str">
            <v>Monika</v>
          </cell>
        </row>
        <row r="2778">
          <cell r="A2778" t="str">
            <v>Monika</v>
          </cell>
        </row>
        <row r="2779">
          <cell r="A2779" t="str">
            <v>Fantomas</v>
          </cell>
        </row>
        <row r="2780">
          <cell r="A2780" t="str">
            <v>Monika</v>
          </cell>
        </row>
        <row r="2781">
          <cell r="A2781" t="str">
            <v>Monika</v>
          </cell>
        </row>
        <row r="2782">
          <cell r="A2782" t="str">
            <v>Krakonoš</v>
          </cell>
        </row>
        <row r="2783">
          <cell r="A2783" t="str">
            <v>Rakosniček</v>
          </cell>
        </row>
        <row r="2784">
          <cell r="A2784" t="str">
            <v>Fantomas</v>
          </cell>
        </row>
        <row r="2785">
          <cell r="A2785" t="str">
            <v>Monika</v>
          </cell>
        </row>
        <row r="2786">
          <cell r="A2786" t="str">
            <v>Pavel</v>
          </cell>
        </row>
        <row r="2787">
          <cell r="A2787" t="str">
            <v>Pavel</v>
          </cell>
        </row>
        <row r="2788">
          <cell r="A2788" t="str">
            <v>Rakosniček</v>
          </cell>
        </row>
        <row r="2789">
          <cell r="A2789" t="str">
            <v>Rakosniček</v>
          </cell>
        </row>
        <row r="2790">
          <cell r="A2790" t="str">
            <v>Rakosniček</v>
          </cell>
        </row>
        <row r="2791">
          <cell r="A2791" t="str">
            <v>Krakonoš</v>
          </cell>
        </row>
        <row r="2792">
          <cell r="A2792" t="str">
            <v>Rakosniček</v>
          </cell>
        </row>
        <row r="2793">
          <cell r="A2793" t="str">
            <v>Rakosniček</v>
          </cell>
        </row>
        <row r="2794">
          <cell r="A2794" t="str">
            <v>Pavel</v>
          </cell>
        </row>
        <row r="2795">
          <cell r="A2795" t="str">
            <v>Fantomas</v>
          </cell>
        </row>
        <row r="2796">
          <cell r="A2796" t="str">
            <v>Krakonoš</v>
          </cell>
        </row>
        <row r="2797">
          <cell r="A2797" t="str">
            <v>Pavel</v>
          </cell>
        </row>
        <row r="2798">
          <cell r="A2798" t="str">
            <v>Fantomas</v>
          </cell>
        </row>
        <row r="2799">
          <cell r="A2799" t="str">
            <v>Rakosniček</v>
          </cell>
        </row>
        <row r="2800">
          <cell r="A2800" t="str">
            <v>Fantomas</v>
          </cell>
        </row>
        <row r="2801">
          <cell r="A2801" t="str">
            <v>Fantomas</v>
          </cell>
        </row>
        <row r="2802">
          <cell r="A2802" t="str">
            <v>Monika</v>
          </cell>
        </row>
        <row r="2803">
          <cell r="A2803" t="str">
            <v>Rakosniček</v>
          </cell>
        </row>
        <row r="2804">
          <cell r="A2804" t="str">
            <v>Fantomas</v>
          </cell>
        </row>
        <row r="2805">
          <cell r="A2805" t="str">
            <v>Pavel</v>
          </cell>
        </row>
        <row r="2806">
          <cell r="A2806" t="str">
            <v>Pavel</v>
          </cell>
        </row>
        <row r="2807">
          <cell r="A2807" t="str">
            <v>Rakosniček</v>
          </cell>
        </row>
        <row r="2808">
          <cell r="A2808" t="str">
            <v>Pavel</v>
          </cell>
        </row>
        <row r="2809">
          <cell r="A2809" t="str">
            <v>Krakonoš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zoomScale="98" workbookViewId="0">
      <selection activeCell="F36" sqref="F36"/>
    </sheetView>
  </sheetViews>
  <sheetFormatPr defaultRowHeight="12.75" x14ac:dyDescent="0.2"/>
  <cols>
    <col min="1" max="1" width="3" bestFit="1" customWidth="1"/>
    <col min="2" max="2" width="16.42578125" bestFit="1" customWidth="1"/>
    <col min="3" max="3" width="26.7109375" bestFit="1" customWidth="1"/>
    <col min="4" max="4" width="3.7109375" style="3" customWidth="1"/>
    <col min="5" max="5" width="12.140625" customWidth="1"/>
    <col min="6" max="6" width="10.7109375" customWidth="1"/>
    <col min="7" max="8" width="5.7109375" customWidth="1"/>
    <col min="9" max="9" width="3.7109375" style="3" customWidth="1"/>
    <col min="10" max="12" width="5.7109375" customWidth="1"/>
  </cols>
  <sheetData>
    <row r="1" spans="1:12" x14ac:dyDescent="0.2">
      <c r="A1" s="49" t="s">
        <v>63</v>
      </c>
      <c r="B1" s="49"/>
      <c r="C1" s="49"/>
      <c r="D1" s="49"/>
      <c r="E1" s="49"/>
      <c r="F1" s="49"/>
      <c r="G1" s="49"/>
    </row>
    <row r="2" spans="1:12" x14ac:dyDescent="0.2">
      <c r="B2" s="13" t="s">
        <v>60</v>
      </c>
      <c r="E2" s="48" t="s">
        <v>59</v>
      </c>
      <c r="F2" s="48"/>
      <c r="G2" s="48"/>
    </row>
    <row r="3" spans="1:12" x14ac:dyDescent="0.2">
      <c r="B3" t="s">
        <v>12</v>
      </c>
      <c r="C3" t="e" cm="1">
        <f t="array" ref="C3:C17">VLOOKUP($B$3:$B$17,$E3:$E7,1,FALSE)</f>
        <v>#N/A</v>
      </c>
      <c r="E3" t="s">
        <v>15</v>
      </c>
      <c r="F3" s="4"/>
      <c r="K3" s="5"/>
      <c r="L3" s="5"/>
    </row>
    <row r="4" spans="1:12" x14ac:dyDescent="0.2">
      <c r="B4" t="s">
        <v>15</v>
      </c>
      <c r="C4" t="str">
        <v>Jana</v>
      </c>
      <c r="E4" t="s">
        <v>32</v>
      </c>
      <c r="F4" s="4"/>
      <c r="K4" s="5"/>
      <c r="L4" s="5"/>
    </row>
    <row r="5" spans="1:12" x14ac:dyDescent="0.2">
      <c r="B5" t="s">
        <v>18</v>
      </c>
      <c r="C5" t="e">
        <v>#N/A</v>
      </c>
      <c r="E5" t="s">
        <v>34</v>
      </c>
      <c r="F5" s="4"/>
      <c r="K5" s="5"/>
      <c r="L5" s="5"/>
    </row>
    <row r="6" spans="1:12" x14ac:dyDescent="0.2">
      <c r="B6" t="s">
        <v>20</v>
      </c>
      <c r="C6" t="e">
        <v>#N/A</v>
      </c>
      <c r="E6" t="s">
        <v>30</v>
      </c>
      <c r="F6" s="4"/>
      <c r="K6" s="5"/>
      <c r="L6" s="5"/>
    </row>
    <row r="7" spans="1:12" x14ac:dyDescent="0.2">
      <c r="B7" t="s">
        <v>22</v>
      </c>
      <c r="C7" t="e">
        <v>#N/A</v>
      </c>
      <c r="E7" t="s">
        <v>61</v>
      </c>
      <c r="F7" s="4"/>
      <c r="K7" s="5"/>
      <c r="L7" s="6"/>
    </row>
    <row r="8" spans="1:12" x14ac:dyDescent="0.2">
      <c r="B8" t="s">
        <v>25</v>
      </c>
      <c r="C8" t="e">
        <v>#N/A</v>
      </c>
      <c r="F8" s="4"/>
      <c r="K8" s="5"/>
      <c r="L8" s="5"/>
    </row>
    <row r="9" spans="1:12" x14ac:dyDescent="0.2">
      <c r="B9" t="s">
        <v>28</v>
      </c>
      <c r="C9" t="e">
        <v>#N/A</v>
      </c>
      <c r="F9" s="4"/>
      <c r="K9" s="5"/>
      <c r="L9" s="5"/>
    </row>
    <row r="10" spans="1:12" x14ac:dyDescent="0.2">
      <c r="B10" t="s">
        <v>30</v>
      </c>
      <c r="C10" t="str">
        <v>René</v>
      </c>
      <c r="F10" s="4"/>
      <c r="K10" s="5"/>
      <c r="L10" s="5"/>
    </row>
    <row r="11" spans="1:12" x14ac:dyDescent="0.2">
      <c r="B11" t="s">
        <v>32</v>
      </c>
      <c r="C11" t="str">
        <v>Jan</v>
      </c>
      <c r="F11" s="4"/>
      <c r="K11" s="5"/>
      <c r="L11" s="5"/>
    </row>
    <row r="12" spans="1:12" x14ac:dyDescent="0.2">
      <c r="B12" t="s">
        <v>34</v>
      </c>
      <c r="C12" t="str">
        <v>Otýlie</v>
      </c>
      <c r="F12" s="4"/>
      <c r="K12" s="5"/>
      <c r="L12" s="5"/>
    </row>
    <row r="13" spans="1:12" x14ac:dyDescent="0.2">
      <c r="B13" t="s">
        <v>36</v>
      </c>
      <c r="C13" t="e">
        <v>#N/A</v>
      </c>
      <c r="F13" s="4"/>
      <c r="K13" s="5"/>
      <c r="L13" s="5"/>
    </row>
    <row r="14" spans="1:12" x14ac:dyDescent="0.2">
      <c r="B14" t="s">
        <v>38</v>
      </c>
      <c r="C14" t="e">
        <v>#N/A</v>
      </c>
      <c r="F14" s="4"/>
      <c r="K14" s="5"/>
      <c r="L14" s="5"/>
    </row>
    <row r="15" spans="1:12" x14ac:dyDescent="0.2">
      <c r="B15" t="s">
        <v>40</v>
      </c>
      <c r="C15" t="e">
        <v>#N/A</v>
      </c>
      <c r="F15" s="4"/>
      <c r="K15" s="5"/>
      <c r="L15" s="5"/>
    </row>
    <row r="16" spans="1:12" x14ac:dyDescent="0.2">
      <c r="B16" t="s">
        <v>61</v>
      </c>
      <c r="C16" t="str">
        <v>František</v>
      </c>
    </row>
    <row r="17" spans="1:9" x14ac:dyDescent="0.2">
      <c r="B17" t="s">
        <v>62</v>
      </c>
      <c r="C17" t="e">
        <v>#N/A</v>
      </c>
    </row>
    <row r="18" spans="1:9" x14ac:dyDescent="0.2">
      <c r="B18" s="7"/>
    </row>
    <row r="19" spans="1:9" x14ac:dyDescent="0.2">
      <c r="I19"/>
    </row>
    <row r="20" spans="1:9" ht="26.25" customHeight="1" x14ac:dyDescent="0.2">
      <c r="A20" s="50" t="s">
        <v>64</v>
      </c>
      <c r="B20" s="50"/>
      <c r="C20" s="50"/>
      <c r="D20" s="50"/>
      <c r="E20" s="50"/>
      <c r="F20" s="50"/>
      <c r="G20" s="50"/>
    </row>
    <row r="21" spans="1:9" x14ac:dyDescent="0.2">
      <c r="B21" s="13" t="s">
        <v>60</v>
      </c>
      <c r="E21" s="48" t="s">
        <v>59</v>
      </c>
      <c r="F21" s="48"/>
      <c r="G21" s="48"/>
    </row>
    <row r="22" spans="1:9" x14ac:dyDescent="0.2">
      <c r="B22" t="s">
        <v>12</v>
      </c>
      <c r="C22" s="15" t="e" cm="1">
        <f t="array" ref="C22:C36">VLOOKUP(B22:B36,E22:F26,2,FALSE)</f>
        <v>#N/A</v>
      </c>
      <c r="E22" t="s">
        <v>15</v>
      </c>
      <c r="F22" s="15">
        <v>34</v>
      </c>
    </row>
    <row r="23" spans="1:9" x14ac:dyDescent="0.2">
      <c r="B23" t="s">
        <v>15</v>
      </c>
      <c r="C23" s="15">
        <v>34</v>
      </c>
      <c r="E23" t="s">
        <v>32</v>
      </c>
      <c r="F23" s="15">
        <v>5</v>
      </c>
    </row>
    <row r="24" spans="1:9" x14ac:dyDescent="0.2">
      <c r="B24" t="s">
        <v>18</v>
      </c>
      <c r="C24" s="15" t="e">
        <v>#N/A</v>
      </c>
      <c r="E24" t="s">
        <v>34</v>
      </c>
      <c r="F24" s="15">
        <v>56</v>
      </c>
    </row>
    <row r="25" spans="1:9" x14ac:dyDescent="0.2">
      <c r="B25" t="s">
        <v>20</v>
      </c>
      <c r="C25" s="15" t="e">
        <v>#N/A</v>
      </c>
      <c r="E25" t="s">
        <v>30</v>
      </c>
      <c r="F25" s="15">
        <v>98</v>
      </c>
    </row>
    <row r="26" spans="1:9" x14ac:dyDescent="0.2">
      <c r="B26" t="s">
        <v>22</v>
      </c>
      <c r="C26" s="15" t="e">
        <v>#N/A</v>
      </c>
      <c r="E26" t="s">
        <v>61</v>
      </c>
      <c r="F26" s="15">
        <v>34</v>
      </c>
    </row>
    <row r="27" spans="1:9" x14ac:dyDescent="0.2">
      <c r="B27" t="s">
        <v>25</v>
      </c>
      <c r="C27" s="15" t="e">
        <v>#N/A</v>
      </c>
      <c r="F27" s="4"/>
    </row>
    <row r="28" spans="1:9" x14ac:dyDescent="0.2">
      <c r="B28" t="s">
        <v>28</v>
      </c>
      <c r="C28" s="15" t="e">
        <v>#N/A</v>
      </c>
      <c r="F28" s="4"/>
    </row>
    <row r="29" spans="1:9" x14ac:dyDescent="0.2">
      <c r="B29" t="s">
        <v>30</v>
      </c>
      <c r="C29" s="15">
        <v>98</v>
      </c>
      <c r="F29" s="4"/>
    </row>
    <row r="30" spans="1:9" x14ac:dyDescent="0.2">
      <c r="B30" t="s">
        <v>32</v>
      </c>
      <c r="C30" s="15">
        <v>5</v>
      </c>
      <c r="F30" s="4"/>
    </row>
    <row r="31" spans="1:9" x14ac:dyDescent="0.2">
      <c r="B31" t="s">
        <v>34</v>
      </c>
      <c r="C31" s="15">
        <v>56</v>
      </c>
      <c r="F31" s="4"/>
    </row>
    <row r="32" spans="1:9" x14ac:dyDescent="0.2">
      <c r="B32" t="s">
        <v>36</v>
      </c>
      <c r="C32" s="15" t="e">
        <v>#N/A</v>
      </c>
      <c r="F32" s="4"/>
    </row>
    <row r="33" spans="2:6" x14ac:dyDescent="0.2">
      <c r="B33" t="s">
        <v>38</v>
      </c>
      <c r="C33" s="15" t="e">
        <v>#N/A</v>
      </c>
      <c r="F33" s="4"/>
    </row>
    <row r="34" spans="2:6" x14ac:dyDescent="0.2">
      <c r="B34" t="s">
        <v>40</v>
      </c>
      <c r="C34" s="15" t="e">
        <v>#N/A</v>
      </c>
      <c r="F34" s="4"/>
    </row>
    <row r="35" spans="2:6" x14ac:dyDescent="0.2">
      <c r="B35" t="s">
        <v>61</v>
      </c>
      <c r="C35" s="15">
        <v>34</v>
      </c>
    </row>
    <row r="36" spans="2:6" x14ac:dyDescent="0.2">
      <c r="B36" t="s">
        <v>62</v>
      </c>
      <c r="C36" s="15" t="e">
        <v>#N/A</v>
      </c>
    </row>
  </sheetData>
  <mergeCells count="4">
    <mergeCell ref="E2:G2"/>
    <mergeCell ref="A1:G1"/>
    <mergeCell ref="A20:G20"/>
    <mergeCell ref="E21:G21"/>
  </mergeCells>
  <pageMargins left="0.78740157499999996" right="0.78740157499999996" top="0.984251969" bottom="0.984251969" header="0.4921259845" footer="0.4921259845"/>
  <pageSetup paperSize="256" orientation="portrait" horizontalDpi="120" verticalDpi="144" copies="0" r:id="rId1"/>
  <headerFooter alignWithMargins="0">
    <oddHeader>&amp;A</oddHeader>
    <oddFooter>Strana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6"/>
  <sheetViews>
    <sheetView zoomScale="104" zoomScaleNormal="104" workbookViewId="0">
      <selection activeCell="C37" sqref="C37"/>
    </sheetView>
  </sheetViews>
  <sheetFormatPr defaultRowHeight="12.75" x14ac:dyDescent="0.2"/>
  <cols>
    <col min="1" max="1" width="3" bestFit="1" customWidth="1"/>
    <col min="2" max="2" width="16.42578125" bestFit="1" customWidth="1"/>
    <col min="3" max="3" width="26.7109375" bestFit="1" customWidth="1"/>
    <col min="4" max="4" width="3.7109375" style="3" customWidth="1"/>
    <col min="5" max="5" width="12.140625" customWidth="1"/>
    <col min="6" max="6" width="10.7109375" customWidth="1"/>
    <col min="7" max="8" width="5.7109375" customWidth="1"/>
    <col min="9" max="9" width="3.7109375" style="3" customWidth="1"/>
    <col min="10" max="12" width="5.7109375" customWidth="1"/>
  </cols>
  <sheetData>
    <row r="1" spans="1:12" s="2" customFormat="1" ht="13.5" thickBot="1" x14ac:dyDescent="0.25">
      <c r="A1" s="2" t="s">
        <v>53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">
      <c r="A2">
        <v>1</v>
      </c>
      <c r="B2" t="s">
        <v>11</v>
      </c>
      <c r="C2" t="s">
        <v>12</v>
      </c>
      <c r="D2" s="3">
        <v>0</v>
      </c>
      <c r="E2" t="s">
        <v>13</v>
      </c>
      <c r="F2" s="4">
        <v>22986</v>
      </c>
      <c r="G2">
        <v>175</v>
      </c>
      <c r="H2">
        <v>72</v>
      </c>
      <c r="I2" s="3">
        <v>1</v>
      </c>
      <c r="J2">
        <v>45</v>
      </c>
      <c r="K2" s="5">
        <v>1.5</v>
      </c>
      <c r="L2" s="5">
        <f t="shared" ref="L2:L14" si="0">J2*K2</f>
        <v>67.5</v>
      </c>
    </row>
    <row r="3" spans="1:12" x14ac:dyDescent="0.2">
      <c r="A3">
        <v>2</v>
      </c>
      <c r="B3" t="s">
        <v>14</v>
      </c>
      <c r="C3" t="s">
        <v>15</v>
      </c>
      <c r="D3" s="3">
        <v>0</v>
      </c>
      <c r="E3" t="s">
        <v>16</v>
      </c>
      <c r="F3" s="4">
        <v>24940</v>
      </c>
      <c r="G3">
        <v>159</v>
      </c>
      <c r="H3">
        <v>46</v>
      </c>
      <c r="I3" s="3">
        <v>1</v>
      </c>
      <c r="J3">
        <v>29</v>
      </c>
      <c r="K3" s="5">
        <v>1.6</v>
      </c>
      <c r="L3" s="5">
        <f t="shared" si="0"/>
        <v>46.400000000000006</v>
      </c>
    </row>
    <row r="4" spans="1:12" x14ac:dyDescent="0.2">
      <c r="A4">
        <v>3</v>
      </c>
      <c r="B4" t="s">
        <v>17</v>
      </c>
      <c r="C4" t="s">
        <v>18</v>
      </c>
      <c r="D4" s="3">
        <v>0</v>
      </c>
      <c r="E4" t="s">
        <v>16</v>
      </c>
      <c r="F4" s="4">
        <v>16074</v>
      </c>
      <c r="G4">
        <v>169</v>
      </c>
      <c r="H4">
        <v>78</v>
      </c>
      <c r="I4" s="3">
        <v>0</v>
      </c>
      <c r="J4">
        <v>64</v>
      </c>
      <c r="K4" s="5">
        <v>1.3</v>
      </c>
      <c r="L4" s="5">
        <f t="shared" si="0"/>
        <v>83.2</v>
      </c>
    </row>
    <row r="5" spans="1:12" x14ac:dyDescent="0.2">
      <c r="A5">
        <v>4</v>
      </c>
      <c r="B5" t="s">
        <v>19</v>
      </c>
      <c r="C5" t="s">
        <v>20</v>
      </c>
      <c r="D5" s="3">
        <v>1</v>
      </c>
      <c r="E5" t="s">
        <v>13</v>
      </c>
      <c r="F5" s="4">
        <v>28223</v>
      </c>
      <c r="G5">
        <v>175</v>
      </c>
      <c r="H5">
        <v>74</v>
      </c>
      <c r="I5" s="3">
        <v>1</v>
      </c>
      <c r="J5">
        <v>44</v>
      </c>
      <c r="K5" s="5">
        <v>1.4</v>
      </c>
      <c r="L5" s="5">
        <f t="shared" si="0"/>
        <v>61.599999999999994</v>
      </c>
    </row>
    <row r="6" spans="1:12" x14ac:dyDescent="0.2">
      <c r="A6">
        <v>5</v>
      </c>
      <c r="B6" t="s">
        <v>21</v>
      </c>
      <c r="C6" t="s">
        <v>22</v>
      </c>
      <c r="D6" s="3">
        <v>0</v>
      </c>
      <c r="E6" t="s">
        <v>23</v>
      </c>
      <c r="F6" s="4">
        <v>23873</v>
      </c>
      <c r="G6">
        <v>177</v>
      </c>
      <c r="H6">
        <v>52</v>
      </c>
      <c r="I6" s="3">
        <v>0</v>
      </c>
      <c r="J6">
        <v>45</v>
      </c>
      <c r="K6" s="5">
        <v>1.2</v>
      </c>
      <c r="L6" s="6">
        <f t="shared" si="0"/>
        <v>54</v>
      </c>
    </row>
    <row r="7" spans="1:12" x14ac:dyDescent="0.2">
      <c r="A7">
        <v>6</v>
      </c>
      <c r="B7" t="s">
        <v>24</v>
      </c>
      <c r="C7" t="s">
        <v>25</v>
      </c>
      <c r="D7" s="3">
        <v>0</v>
      </c>
      <c r="E7" t="s">
        <v>26</v>
      </c>
      <c r="F7" s="4">
        <v>19911</v>
      </c>
      <c r="G7">
        <v>162</v>
      </c>
      <c r="H7">
        <v>71</v>
      </c>
      <c r="I7" s="3">
        <v>1</v>
      </c>
      <c r="J7">
        <v>36</v>
      </c>
      <c r="K7" s="5">
        <v>1.3</v>
      </c>
      <c r="L7" s="5">
        <f t="shared" si="0"/>
        <v>46.800000000000004</v>
      </c>
    </row>
    <row r="8" spans="1:12" x14ac:dyDescent="0.2">
      <c r="A8">
        <v>7</v>
      </c>
      <c r="B8" t="s">
        <v>27</v>
      </c>
      <c r="C8" t="s">
        <v>28</v>
      </c>
      <c r="D8" s="3">
        <v>0</v>
      </c>
      <c r="E8" t="s">
        <v>13</v>
      </c>
      <c r="F8" s="4">
        <v>21106</v>
      </c>
      <c r="G8">
        <v>195</v>
      </c>
      <c r="H8">
        <v>66</v>
      </c>
      <c r="I8" s="3">
        <v>0</v>
      </c>
      <c r="J8">
        <v>31</v>
      </c>
      <c r="K8" s="5">
        <v>1.3</v>
      </c>
      <c r="L8" s="5">
        <f t="shared" si="0"/>
        <v>40.300000000000004</v>
      </c>
    </row>
    <row r="9" spans="1:12" x14ac:dyDescent="0.2">
      <c r="A9">
        <v>8</v>
      </c>
      <c r="B9" t="s">
        <v>29</v>
      </c>
      <c r="C9" t="s">
        <v>30</v>
      </c>
      <c r="D9" s="3">
        <v>1</v>
      </c>
      <c r="E9" t="s">
        <v>26</v>
      </c>
      <c r="F9" s="4">
        <v>22233</v>
      </c>
      <c r="G9">
        <v>188</v>
      </c>
      <c r="H9">
        <v>88</v>
      </c>
      <c r="I9" s="3">
        <v>0</v>
      </c>
      <c r="J9">
        <v>75</v>
      </c>
      <c r="K9" s="5">
        <v>1.4</v>
      </c>
      <c r="L9" s="5">
        <f t="shared" si="0"/>
        <v>105</v>
      </c>
    </row>
    <row r="10" spans="1:12" x14ac:dyDescent="0.2">
      <c r="A10">
        <v>9</v>
      </c>
      <c r="B10" t="s">
        <v>31</v>
      </c>
      <c r="C10" t="s">
        <v>32</v>
      </c>
      <c r="D10" s="3">
        <v>1</v>
      </c>
      <c r="E10" t="s">
        <v>26</v>
      </c>
      <c r="F10" s="4">
        <v>26879</v>
      </c>
      <c r="G10">
        <v>190</v>
      </c>
      <c r="H10">
        <v>85</v>
      </c>
      <c r="I10" s="3">
        <v>0</v>
      </c>
      <c r="J10">
        <v>36</v>
      </c>
      <c r="K10" s="5">
        <v>1.2</v>
      </c>
      <c r="L10" s="5">
        <f t="shared" si="0"/>
        <v>43.199999999999996</v>
      </c>
    </row>
    <row r="11" spans="1:12" x14ac:dyDescent="0.2">
      <c r="A11">
        <v>10</v>
      </c>
      <c r="B11" t="s">
        <v>33</v>
      </c>
      <c r="C11" t="s">
        <v>34</v>
      </c>
      <c r="D11" s="3">
        <v>0</v>
      </c>
      <c r="E11" t="s">
        <v>13</v>
      </c>
      <c r="F11" s="4">
        <v>17410</v>
      </c>
      <c r="G11">
        <v>163</v>
      </c>
      <c r="H11">
        <v>69</v>
      </c>
      <c r="I11" s="3">
        <v>1</v>
      </c>
      <c r="J11">
        <v>36</v>
      </c>
      <c r="K11" s="5">
        <v>1.5</v>
      </c>
      <c r="L11" s="5">
        <f t="shared" si="0"/>
        <v>54</v>
      </c>
    </row>
    <row r="12" spans="1:12" x14ac:dyDescent="0.2">
      <c r="A12">
        <v>11</v>
      </c>
      <c r="B12" t="s">
        <v>35</v>
      </c>
      <c r="C12" t="s">
        <v>36</v>
      </c>
      <c r="D12" s="3">
        <v>0</v>
      </c>
      <c r="E12" t="s">
        <v>16</v>
      </c>
      <c r="F12" s="4">
        <v>27804</v>
      </c>
      <c r="G12">
        <v>181</v>
      </c>
      <c r="H12">
        <v>61</v>
      </c>
      <c r="I12" s="3">
        <v>1</v>
      </c>
      <c r="J12">
        <v>66</v>
      </c>
      <c r="K12" s="5">
        <v>1.2</v>
      </c>
      <c r="L12" s="5">
        <f t="shared" si="0"/>
        <v>79.2</v>
      </c>
    </row>
    <row r="13" spans="1:12" x14ac:dyDescent="0.2">
      <c r="A13">
        <v>12</v>
      </c>
      <c r="B13" t="s">
        <v>37</v>
      </c>
      <c r="C13" t="s">
        <v>38</v>
      </c>
      <c r="D13" s="3">
        <v>0</v>
      </c>
      <c r="E13" t="s">
        <v>26</v>
      </c>
      <c r="F13" s="4">
        <v>29075</v>
      </c>
      <c r="G13">
        <v>174</v>
      </c>
      <c r="H13">
        <v>52</v>
      </c>
      <c r="I13" s="3">
        <v>1</v>
      </c>
      <c r="J13">
        <v>67</v>
      </c>
      <c r="K13" s="5">
        <v>1.1000000000000001</v>
      </c>
      <c r="L13" s="5">
        <f t="shared" si="0"/>
        <v>73.7</v>
      </c>
    </row>
    <row r="14" spans="1:12" x14ac:dyDescent="0.2">
      <c r="A14">
        <v>13</v>
      </c>
      <c r="B14" t="s">
        <v>39</v>
      </c>
      <c r="C14" t="s">
        <v>40</v>
      </c>
      <c r="D14" s="3">
        <v>1</v>
      </c>
      <c r="E14" t="s">
        <v>23</v>
      </c>
      <c r="F14" s="4">
        <v>24729</v>
      </c>
      <c r="G14">
        <v>159</v>
      </c>
      <c r="H14">
        <v>82</v>
      </c>
      <c r="I14" s="3">
        <v>0</v>
      </c>
      <c r="J14">
        <v>52</v>
      </c>
      <c r="K14" s="5">
        <v>1.4</v>
      </c>
      <c r="L14" s="5">
        <f t="shared" si="0"/>
        <v>72.8</v>
      </c>
    </row>
    <row r="16" spans="1:12" x14ac:dyDescent="0.2">
      <c r="C16" s="7"/>
      <c r="I16"/>
    </row>
    <row r="17" spans="2:9" x14ac:dyDescent="0.2">
      <c r="B17" s="7" t="s">
        <v>41</v>
      </c>
      <c r="C17" s="7" t="s">
        <v>42</v>
      </c>
      <c r="E17" s="7" t="s">
        <v>72</v>
      </c>
      <c r="I17"/>
    </row>
    <row r="18" spans="2:9" x14ac:dyDescent="0.2">
      <c r="B18" s="13">
        <v>6</v>
      </c>
      <c r="C18" s="12">
        <f>VLOOKUP(B18,A2:L14,7,FALSE)</f>
        <v>162</v>
      </c>
      <c r="E18" s="12" t="s">
        <v>54</v>
      </c>
      <c r="I18"/>
    </row>
    <row r="19" spans="2:9" x14ac:dyDescent="0.2">
      <c r="I19"/>
    </row>
    <row r="21" spans="2:9" x14ac:dyDescent="0.2">
      <c r="B21" s="7" t="s">
        <v>41</v>
      </c>
      <c r="C21" s="7" t="s">
        <v>71</v>
      </c>
    </row>
    <row r="22" spans="2:9" x14ac:dyDescent="0.2">
      <c r="B22" s="17">
        <v>3</v>
      </c>
      <c r="C22" t="str">
        <f>VLOOKUP(B22,A2:L14,5,FALSE)</f>
        <v>Ostrava</v>
      </c>
    </row>
    <row r="25" spans="2:9" x14ac:dyDescent="0.2">
      <c r="B25" s="7" t="s">
        <v>41</v>
      </c>
      <c r="C25" s="7" t="s">
        <v>55</v>
      </c>
    </row>
    <row r="26" spans="2:9" x14ac:dyDescent="0.2">
      <c r="B26" s="18">
        <v>9</v>
      </c>
      <c r="C26">
        <f>VLOOKUP(B26,A2:L14,11,TRUE)</f>
        <v>1.2</v>
      </c>
    </row>
    <row r="28" spans="2:9" x14ac:dyDescent="0.2">
      <c r="B28" s="7" t="s">
        <v>41</v>
      </c>
      <c r="C28" s="7" t="s">
        <v>70</v>
      </c>
    </row>
    <row r="29" spans="2:9" x14ac:dyDescent="0.2">
      <c r="B29" s="39" t="s">
        <v>109</v>
      </c>
      <c r="C29" t="str">
        <f>VLOOKUP(B10,B2:H14,2,0)</f>
        <v>Jan</v>
      </c>
    </row>
    <row r="30" spans="2:9" x14ac:dyDescent="0.2">
      <c r="B30" s="40" t="s">
        <v>110</v>
      </c>
      <c r="C30" t="str">
        <f>VLOOKUP(B2,B2:H14,4,0)</f>
        <v>Brno</v>
      </c>
    </row>
    <row r="31" spans="2:9" x14ac:dyDescent="0.2">
      <c r="B31" s="41" t="s">
        <v>111</v>
      </c>
      <c r="C31">
        <f>VLOOKUP(B14,B2:H14,7,0)</f>
        <v>82</v>
      </c>
    </row>
    <row r="33" spans="2:3" x14ac:dyDescent="0.2">
      <c r="B33" s="7" t="s">
        <v>73</v>
      </c>
      <c r="C33" s="7" t="s">
        <v>70</v>
      </c>
    </row>
    <row r="34" spans="2:3" x14ac:dyDescent="0.2">
      <c r="B34" s="19" t="s">
        <v>56</v>
      </c>
      <c r="C34">
        <f>VLOOKUP(A11,A2:L14,11,TRUE)</f>
        <v>1.5</v>
      </c>
    </row>
    <row r="35" spans="2:3" x14ac:dyDescent="0.2">
      <c r="B35" s="19" t="s">
        <v>57</v>
      </c>
      <c r="C35">
        <f>VLOOKUP(A9,A2:L14,10,0)</f>
        <v>75</v>
      </c>
    </row>
    <row r="36" spans="2:3" x14ac:dyDescent="0.2">
      <c r="B36" s="19" t="s">
        <v>58</v>
      </c>
      <c r="C36">
        <f>VLOOKUP(A7,A2:L14,8,0)</f>
        <v>71</v>
      </c>
    </row>
  </sheetData>
  <phoneticPr fontId="0" type="noConversion"/>
  <pageMargins left="0.78740157499999996" right="0.78740157499999996" top="0.984251969" bottom="0.984251969" header="0.4921259845" footer="0.4921259845"/>
  <pageSetup paperSize="256" orientation="portrait" horizontalDpi="120" verticalDpi="144" copies="0" r:id="rId1"/>
  <headerFooter alignWithMargins="0">
    <oddHeader>&amp;A</oddHeader>
    <oddFooter>Strana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0270-93DB-4FB0-AD27-6ECA4CDFFE55}">
  <dimension ref="A1:M32"/>
  <sheetViews>
    <sheetView workbookViewId="0">
      <selection activeCell="H12" sqref="H12"/>
    </sheetView>
  </sheetViews>
  <sheetFormatPr defaultRowHeight="12.75" x14ac:dyDescent="0.2"/>
  <cols>
    <col min="5" max="5" width="9.42578125" bestFit="1" customWidth="1"/>
    <col min="6" max="6" width="18.7109375" bestFit="1" customWidth="1"/>
  </cols>
  <sheetData>
    <row r="1" spans="1:13" ht="25.5" x14ac:dyDescent="0.2">
      <c r="A1" s="20" t="s">
        <v>74</v>
      </c>
      <c r="B1" s="20" t="s">
        <v>75</v>
      </c>
      <c r="C1" s="20" t="s">
        <v>76</v>
      </c>
      <c r="D1" s="20" t="s">
        <v>77</v>
      </c>
      <c r="E1" s="20" t="s">
        <v>78</v>
      </c>
      <c r="F1" s="20" t="s">
        <v>136</v>
      </c>
      <c r="G1" s="43" t="s">
        <v>75</v>
      </c>
      <c r="H1" s="43" t="s">
        <v>79</v>
      </c>
      <c r="J1" s="51" t="s">
        <v>122</v>
      </c>
      <c r="K1" s="51"/>
      <c r="L1" s="51"/>
      <c r="M1" s="51"/>
    </row>
    <row r="2" spans="1:13" ht="12.75" customHeight="1" x14ac:dyDescent="0.2">
      <c r="A2" s="21">
        <v>43230</v>
      </c>
      <c r="B2" t="s">
        <v>80</v>
      </c>
      <c r="C2" s="3" t="s">
        <v>81</v>
      </c>
      <c r="D2">
        <v>10</v>
      </c>
      <c r="E2" s="34" cm="1">
        <f t="array" ref="E2:E15">VLOOKUP(B2:B15,G2:H6,2,1)</f>
        <v>18</v>
      </c>
      <c r="F2" t="str" cm="1">
        <f t="array" ref="F2:F15">VLOOKUP(_xlfn.ANCHORARRAY(E2),D18:E26,2,1)</f>
        <v>D</v>
      </c>
      <c r="G2" s="44" t="s">
        <v>82</v>
      </c>
      <c r="H2" s="45">
        <v>12</v>
      </c>
      <c r="J2" s="51"/>
      <c r="K2" s="51"/>
      <c r="L2" s="51"/>
      <c r="M2" s="51"/>
    </row>
    <row r="3" spans="1:13" ht="12.75" customHeight="1" x14ac:dyDescent="0.2">
      <c r="A3" s="21">
        <v>43230</v>
      </c>
      <c r="B3" t="s">
        <v>83</v>
      </c>
      <c r="C3" s="3" t="s">
        <v>81</v>
      </c>
      <c r="D3">
        <v>5</v>
      </c>
      <c r="E3" s="34">
        <v>8</v>
      </c>
      <c r="F3" t="str">
        <v>B</v>
      </c>
      <c r="G3" s="44" t="s">
        <v>80</v>
      </c>
      <c r="H3" s="45">
        <v>18</v>
      </c>
      <c r="J3" s="51"/>
      <c r="K3" s="51"/>
      <c r="L3" s="51"/>
      <c r="M3" s="51"/>
    </row>
    <row r="4" spans="1:13" ht="12.75" customHeight="1" x14ac:dyDescent="0.2">
      <c r="A4" s="21">
        <v>43232</v>
      </c>
      <c r="B4" t="s">
        <v>80</v>
      </c>
      <c r="C4" s="3" t="s">
        <v>81</v>
      </c>
      <c r="D4">
        <v>6</v>
      </c>
      <c r="E4" s="34">
        <v>18</v>
      </c>
      <c r="F4" t="str">
        <v>D</v>
      </c>
      <c r="G4" s="44" t="s">
        <v>83</v>
      </c>
      <c r="H4" s="45">
        <v>8</v>
      </c>
      <c r="J4" s="51"/>
      <c r="K4" s="51"/>
      <c r="L4" s="51"/>
      <c r="M4" s="51"/>
    </row>
    <row r="5" spans="1:13" ht="12.75" customHeight="1" x14ac:dyDescent="0.2">
      <c r="A5" s="21">
        <v>43233</v>
      </c>
      <c r="B5" t="s">
        <v>84</v>
      </c>
      <c r="C5" s="3" t="s">
        <v>81</v>
      </c>
      <c r="D5">
        <v>10</v>
      </c>
      <c r="E5" s="34">
        <v>13</v>
      </c>
      <c r="F5" t="str">
        <v>C</v>
      </c>
      <c r="G5" s="44" t="s">
        <v>85</v>
      </c>
      <c r="H5" s="45">
        <v>20</v>
      </c>
      <c r="J5" s="51"/>
      <c r="K5" s="51"/>
      <c r="L5" s="51"/>
      <c r="M5" s="51"/>
    </row>
    <row r="6" spans="1:13" ht="12.75" customHeight="1" x14ac:dyDescent="0.2">
      <c r="A6" s="21">
        <v>43235</v>
      </c>
      <c r="B6" t="s">
        <v>83</v>
      </c>
      <c r="C6" s="3" t="s">
        <v>81</v>
      </c>
      <c r="D6">
        <v>12</v>
      </c>
      <c r="E6" s="34">
        <v>8</v>
      </c>
      <c r="F6" t="str">
        <v>B</v>
      </c>
      <c r="G6" s="44" t="s">
        <v>84</v>
      </c>
      <c r="H6" s="45">
        <v>13</v>
      </c>
      <c r="J6" s="51"/>
      <c r="K6" s="51"/>
      <c r="L6" s="51"/>
      <c r="M6" s="51"/>
    </row>
    <row r="7" spans="1:13" ht="12.75" customHeight="1" x14ac:dyDescent="0.2">
      <c r="A7" s="21">
        <v>43235</v>
      </c>
      <c r="B7" t="s">
        <v>80</v>
      </c>
      <c r="C7" s="3" t="s">
        <v>81</v>
      </c>
      <c r="D7">
        <v>5</v>
      </c>
      <c r="E7" s="34">
        <v>18</v>
      </c>
      <c r="F7" t="str">
        <v>D</v>
      </c>
      <c r="J7" s="51"/>
      <c r="K7" s="51"/>
      <c r="L7" s="51"/>
      <c r="M7" s="51"/>
    </row>
    <row r="8" spans="1:13" ht="12.75" customHeight="1" x14ac:dyDescent="0.2">
      <c r="A8" s="21">
        <v>43236</v>
      </c>
      <c r="B8" t="s">
        <v>85</v>
      </c>
      <c r="C8" s="3" t="s">
        <v>81</v>
      </c>
      <c r="D8">
        <v>4</v>
      </c>
      <c r="E8" s="34">
        <v>20</v>
      </c>
      <c r="F8" t="str">
        <v>E</v>
      </c>
      <c r="J8" s="51"/>
      <c r="K8" s="51"/>
      <c r="L8" s="51"/>
      <c r="M8" s="51"/>
    </row>
    <row r="9" spans="1:13" ht="12.75" customHeight="1" x14ac:dyDescent="0.2">
      <c r="A9" s="21">
        <v>43237</v>
      </c>
      <c r="B9" t="s">
        <v>82</v>
      </c>
      <c r="C9" s="3" t="s">
        <v>81</v>
      </c>
      <c r="D9">
        <v>32</v>
      </c>
      <c r="E9" s="34">
        <v>12</v>
      </c>
      <c r="F9" t="str">
        <v>C</v>
      </c>
      <c r="J9" s="53" t="s">
        <v>123</v>
      </c>
      <c r="K9" s="53"/>
      <c r="L9" s="53"/>
      <c r="M9" s="53"/>
    </row>
    <row r="10" spans="1:13" ht="12.75" customHeight="1" x14ac:dyDescent="0.2">
      <c r="A10" s="21">
        <v>43237</v>
      </c>
      <c r="B10" t="s">
        <v>80</v>
      </c>
      <c r="C10" s="3" t="s">
        <v>81</v>
      </c>
      <c r="D10">
        <v>1</v>
      </c>
      <c r="E10" s="34">
        <v>18</v>
      </c>
      <c r="F10" t="str">
        <v>D</v>
      </c>
      <c r="J10" s="53"/>
      <c r="K10" s="53"/>
      <c r="L10" s="53"/>
      <c r="M10" s="53"/>
    </row>
    <row r="11" spans="1:13" ht="12.75" customHeight="1" x14ac:dyDescent="0.2">
      <c r="A11" s="21">
        <v>43239</v>
      </c>
      <c r="B11" t="s">
        <v>83</v>
      </c>
      <c r="C11" s="3" t="s">
        <v>81</v>
      </c>
      <c r="D11">
        <v>4</v>
      </c>
      <c r="E11" s="34">
        <v>8</v>
      </c>
      <c r="F11" t="str">
        <v>B</v>
      </c>
      <c r="J11" s="53"/>
      <c r="K11" s="53"/>
      <c r="L11" s="53"/>
      <c r="M11" s="53"/>
    </row>
    <row r="12" spans="1:13" ht="12.75" customHeight="1" x14ac:dyDescent="0.2">
      <c r="A12" s="21">
        <v>43240</v>
      </c>
      <c r="B12" t="s">
        <v>85</v>
      </c>
      <c r="C12" s="3" t="s">
        <v>81</v>
      </c>
      <c r="D12">
        <v>41</v>
      </c>
      <c r="E12" s="34">
        <v>20</v>
      </c>
      <c r="F12" t="str">
        <v>E</v>
      </c>
      <c r="J12" s="53"/>
      <c r="K12" s="53"/>
      <c r="L12" s="53"/>
      <c r="M12" s="53"/>
    </row>
    <row r="13" spans="1:13" ht="12.75" customHeight="1" x14ac:dyDescent="0.2">
      <c r="A13" s="21">
        <v>43241</v>
      </c>
      <c r="B13" t="s">
        <v>82</v>
      </c>
      <c r="C13" s="3" t="s">
        <v>81</v>
      </c>
      <c r="D13">
        <v>5</v>
      </c>
      <c r="E13" s="34">
        <v>12</v>
      </c>
      <c r="F13" t="str">
        <v>C</v>
      </c>
      <c r="J13" s="53"/>
      <c r="K13" s="53"/>
      <c r="L13" s="53"/>
      <c r="M13" s="53"/>
    </row>
    <row r="14" spans="1:13" ht="12.75" customHeight="1" x14ac:dyDescent="0.2">
      <c r="A14" s="21">
        <v>43242</v>
      </c>
      <c r="B14" t="s">
        <v>83</v>
      </c>
      <c r="C14" s="3" t="s">
        <v>81</v>
      </c>
      <c r="D14">
        <v>15</v>
      </c>
      <c r="E14" s="34">
        <v>8</v>
      </c>
      <c r="F14" t="str">
        <v>B</v>
      </c>
      <c r="J14" s="53" t="s">
        <v>124</v>
      </c>
      <c r="K14" s="53"/>
      <c r="L14" s="53"/>
      <c r="M14" s="53"/>
    </row>
    <row r="15" spans="1:13" ht="12.75" customHeight="1" x14ac:dyDescent="0.2">
      <c r="A15" s="21">
        <v>43243</v>
      </c>
      <c r="B15" t="s">
        <v>80</v>
      </c>
      <c r="C15" s="3" t="s">
        <v>81</v>
      </c>
      <c r="D15">
        <v>5</v>
      </c>
      <c r="E15" s="34">
        <v>18</v>
      </c>
      <c r="F15" t="str">
        <v>D</v>
      </c>
      <c r="J15" s="53"/>
      <c r="K15" s="53"/>
      <c r="L15" s="53"/>
      <c r="M15" s="53"/>
    </row>
    <row r="16" spans="1:13" x14ac:dyDescent="0.2">
      <c r="J16" s="53"/>
      <c r="K16" s="53"/>
      <c r="L16" s="53"/>
      <c r="M16" s="53"/>
    </row>
    <row r="18" spans="2:5" x14ac:dyDescent="0.2">
      <c r="B18" s="52" t="s">
        <v>121</v>
      </c>
      <c r="C18" s="52"/>
      <c r="D18" s="42">
        <v>1</v>
      </c>
      <c r="E18" s="42" t="s">
        <v>112</v>
      </c>
    </row>
    <row r="19" spans="2:5" ht="12.75" customHeight="1" x14ac:dyDescent="0.2">
      <c r="D19" s="42">
        <v>5</v>
      </c>
      <c r="E19" s="42" t="s">
        <v>113</v>
      </c>
    </row>
    <row r="20" spans="2:5" ht="12.75" customHeight="1" x14ac:dyDescent="0.2">
      <c r="D20" s="42">
        <v>10</v>
      </c>
      <c r="E20" s="42" t="s">
        <v>114</v>
      </c>
    </row>
    <row r="21" spans="2:5" ht="12.75" customHeight="1" x14ac:dyDescent="0.2">
      <c r="D21" s="42">
        <v>15</v>
      </c>
      <c r="E21" s="42" t="s">
        <v>115</v>
      </c>
    </row>
    <row r="22" spans="2:5" ht="12.75" customHeight="1" x14ac:dyDescent="0.2">
      <c r="D22" s="42">
        <v>20</v>
      </c>
      <c r="E22" s="42" t="s">
        <v>116</v>
      </c>
    </row>
    <row r="23" spans="2:5" ht="12.75" customHeight="1" x14ac:dyDescent="0.2">
      <c r="D23" s="42">
        <v>25</v>
      </c>
      <c r="E23" s="42" t="s">
        <v>117</v>
      </c>
    </row>
    <row r="24" spans="2:5" ht="12.75" customHeight="1" x14ac:dyDescent="0.2">
      <c r="D24" s="42">
        <v>30</v>
      </c>
      <c r="E24" s="42" t="s">
        <v>118</v>
      </c>
    </row>
    <row r="25" spans="2:5" ht="12.75" customHeight="1" x14ac:dyDescent="0.2">
      <c r="D25" s="42">
        <v>35</v>
      </c>
      <c r="E25" s="42" t="s">
        <v>119</v>
      </c>
    </row>
    <row r="26" spans="2:5" ht="12.75" customHeight="1" x14ac:dyDescent="0.2">
      <c r="D26" s="42">
        <v>40</v>
      </c>
      <c r="E26" s="42" t="s">
        <v>120</v>
      </c>
    </row>
    <row r="27" spans="2:5" ht="12.75" customHeight="1" x14ac:dyDescent="0.2"/>
    <row r="28" spans="2:5" ht="12.75" customHeight="1" x14ac:dyDescent="0.2"/>
    <row r="29" spans="2:5" ht="12.75" customHeight="1" x14ac:dyDescent="0.2"/>
    <row r="30" spans="2:5" ht="12.75" customHeight="1" x14ac:dyDescent="0.2"/>
    <row r="31" spans="2:5" ht="12.75" customHeight="1" x14ac:dyDescent="0.2"/>
    <row r="32" spans="2:5" ht="12.75" customHeight="1" x14ac:dyDescent="0.2"/>
  </sheetData>
  <mergeCells count="4">
    <mergeCell ref="J1:M8"/>
    <mergeCell ref="B18:C18"/>
    <mergeCell ref="J9:M13"/>
    <mergeCell ref="J14:M16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"/>
  <sheetViews>
    <sheetView zoomScale="130" workbookViewId="0">
      <selection activeCell="C27" sqref="C27"/>
    </sheetView>
  </sheetViews>
  <sheetFormatPr defaultRowHeight="12.75" x14ac:dyDescent="0.2"/>
  <cols>
    <col min="1" max="1" width="3" bestFit="1" customWidth="1"/>
    <col min="2" max="2" width="16.42578125" bestFit="1" customWidth="1"/>
    <col min="3" max="3" width="26.7109375" bestFit="1" customWidth="1"/>
    <col min="4" max="4" width="3.7109375" style="3" customWidth="1"/>
    <col min="5" max="5" width="12.140625" customWidth="1"/>
    <col min="6" max="6" width="10.7109375" customWidth="1"/>
    <col min="7" max="8" width="5.7109375" customWidth="1"/>
    <col min="9" max="9" width="3.7109375" style="3" customWidth="1"/>
    <col min="10" max="12" width="5.7109375" customWidth="1"/>
  </cols>
  <sheetData>
    <row r="1" spans="1:12" s="2" customFormat="1" ht="13.5" thickBot="1" x14ac:dyDescent="0.25">
      <c r="A1" s="2" t="s">
        <v>53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">
      <c r="A2">
        <v>1</v>
      </c>
      <c r="B2" t="s">
        <v>11</v>
      </c>
      <c r="C2" t="s">
        <v>12</v>
      </c>
      <c r="D2" s="3">
        <v>0</v>
      </c>
      <c r="E2" t="s">
        <v>13</v>
      </c>
      <c r="F2" s="4">
        <v>22986</v>
      </c>
      <c r="G2">
        <v>175</v>
      </c>
      <c r="H2">
        <v>72</v>
      </c>
      <c r="I2" s="3">
        <v>1</v>
      </c>
      <c r="J2">
        <v>45</v>
      </c>
      <c r="K2" s="5">
        <v>1.5</v>
      </c>
      <c r="L2" s="5">
        <f t="shared" ref="L2:L14" si="0">J2*K2</f>
        <v>67.5</v>
      </c>
    </row>
    <row r="3" spans="1:12" x14ac:dyDescent="0.2">
      <c r="A3">
        <v>2</v>
      </c>
      <c r="B3" t="s">
        <v>14</v>
      </c>
      <c r="C3" t="s">
        <v>15</v>
      </c>
      <c r="D3" s="3">
        <v>0</v>
      </c>
      <c r="E3" t="s">
        <v>16</v>
      </c>
      <c r="F3" s="4">
        <v>24940</v>
      </c>
      <c r="G3">
        <v>159</v>
      </c>
      <c r="H3">
        <v>46</v>
      </c>
      <c r="I3" s="3">
        <v>1</v>
      </c>
      <c r="J3">
        <v>29</v>
      </c>
      <c r="K3" s="5">
        <v>1.6</v>
      </c>
      <c r="L3" s="5">
        <f t="shared" si="0"/>
        <v>46.400000000000006</v>
      </c>
    </row>
    <row r="4" spans="1:12" x14ac:dyDescent="0.2">
      <c r="A4">
        <v>3</v>
      </c>
      <c r="B4" t="s">
        <v>17</v>
      </c>
      <c r="C4" t="s">
        <v>18</v>
      </c>
      <c r="D4" s="3">
        <v>0</v>
      </c>
      <c r="E4" t="s">
        <v>16</v>
      </c>
      <c r="F4" s="4">
        <v>16074</v>
      </c>
      <c r="G4">
        <v>169</v>
      </c>
      <c r="H4">
        <v>78</v>
      </c>
      <c r="I4" s="3">
        <v>0</v>
      </c>
      <c r="J4">
        <v>64</v>
      </c>
      <c r="K4" s="5">
        <v>1.3</v>
      </c>
      <c r="L4" s="5">
        <f t="shared" si="0"/>
        <v>83.2</v>
      </c>
    </row>
    <row r="5" spans="1:12" x14ac:dyDescent="0.2">
      <c r="A5">
        <v>4</v>
      </c>
      <c r="B5" t="s">
        <v>19</v>
      </c>
      <c r="C5" t="s">
        <v>20</v>
      </c>
      <c r="D5" s="3">
        <v>1</v>
      </c>
      <c r="E5" t="s">
        <v>13</v>
      </c>
      <c r="F5" s="4">
        <v>28223</v>
      </c>
      <c r="G5">
        <v>175</v>
      </c>
      <c r="H5">
        <v>74</v>
      </c>
      <c r="I5" s="3">
        <v>1</v>
      </c>
      <c r="J5">
        <v>44</v>
      </c>
      <c r="K5" s="5">
        <v>1.4</v>
      </c>
      <c r="L5" s="5">
        <f t="shared" si="0"/>
        <v>61.599999999999994</v>
      </c>
    </row>
    <row r="6" spans="1:12" x14ac:dyDescent="0.2">
      <c r="A6">
        <v>5</v>
      </c>
      <c r="B6" t="s">
        <v>21</v>
      </c>
      <c r="C6" t="s">
        <v>22</v>
      </c>
      <c r="D6" s="3">
        <v>0</v>
      </c>
      <c r="E6" t="s">
        <v>23</v>
      </c>
      <c r="F6" s="4">
        <v>23873</v>
      </c>
      <c r="G6">
        <v>177</v>
      </c>
      <c r="H6">
        <v>52</v>
      </c>
      <c r="I6" s="3">
        <v>0</v>
      </c>
      <c r="J6">
        <v>45</v>
      </c>
      <c r="K6" s="5">
        <v>1.2</v>
      </c>
      <c r="L6" s="6">
        <f t="shared" si="0"/>
        <v>54</v>
      </c>
    </row>
    <row r="7" spans="1:12" x14ac:dyDescent="0.2">
      <c r="A7">
        <v>6</v>
      </c>
      <c r="B7" t="s">
        <v>24</v>
      </c>
      <c r="C7" t="s">
        <v>25</v>
      </c>
      <c r="D7" s="3">
        <v>0</v>
      </c>
      <c r="E7" t="s">
        <v>26</v>
      </c>
      <c r="F7" s="4">
        <v>19911</v>
      </c>
      <c r="G7">
        <v>162</v>
      </c>
      <c r="H7">
        <v>71</v>
      </c>
      <c r="I7" s="3">
        <v>1</v>
      </c>
      <c r="J7">
        <v>36</v>
      </c>
      <c r="K7" s="5">
        <v>1.3</v>
      </c>
      <c r="L7" s="5">
        <f t="shared" si="0"/>
        <v>46.800000000000004</v>
      </c>
    </row>
    <row r="8" spans="1:12" x14ac:dyDescent="0.2">
      <c r="A8">
        <v>7</v>
      </c>
      <c r="B8" t="s">
        <v>27</v>
      </c>
      <c r="C8" t="s">
        <v>28</v>
      </c>
      <c r="D8" s="3">
        <v>0</v>
      </c>
      <c r="E8" t="s">
        <v>13</v>
      </c>
      <c r="F8" s="4">
        <v>21106</v>
      </c>
      <c r="G8">
        <v>195</v>
      </c>
      <c r="H8">
        <v>66</v>
      </c>
      <c r="I8" s="3">
        <v>0</v>
      </c>
      <c r="J8">
        <v>31</v>
      </c>
      <c r="K8" s="5">
        <v>1.3</v>
      </c>
      <c r="L8" s="5">
        <f t="shared" si="0"/>
        <v>40.300000000000004</v>
      </c>
    </row>
    <row r="9" spans="1:12" x14ac:dyDescent="0.2">
      <c r="A9">
        <v>8</v>
      </c>
      <c r="B9" t="s">
        <v>29</v>
      </c>
      <c r="C9" t="s">
        <v>30</v>
      </c>
      <c r="D9" s="3">
        <v>1</v>
      </c>
      <c r="E9" t="s">
        <v>26</v>
      </c>
      <c r="F9" s="4">
        <v>22233</v>
      </c>
      <c r="G9">
        <v>188</v>
      </c>
      <c r="H9">
        <v>88</v>
      </c>
      <c r="I9" s="3">
        <v>0</v>
      </c>
      <c r="J9">
        <v>75</v>
      </c>
      <c r="K9" s="5">
        <v>1.4</v>
      </c>
      <c r="L9" s="5">
        <f t="shared" si="0"/>
        <v>105</v>
      </c>
    </row>
    <row r="10" spans="1:12" x14ac:dyDescent="0.2">
      <c r="A10">
        <v>9</v>
      </c>
      <c r="B10" t="s">
        <v>31</v>
      </c>
      <c r="C10" t="s">
        <v>32</v>
      </c>
      <c r="D10" s="3">
        <v>1</v>
      </c>
      <c r="E10" t="s">
        <v>26</v>
      </c>
      <c r="F10" s="4">
        <v>26879</v>
      </c>
      <c r="G10">
        <v>190</v>
      </c>
      <c r="H10">
        <v>85</v>
      </c>
      <c r="I10" s="3">
        <v>0</v>
      </c>
      <c r="J10">
        <v>36</v>
      </c>
      <c r="K10" s="5">
        <v>1.2</v>
      </c>
      <c r="L10" s="5">
        <f t="shared" si="0"/>
        <v>43.199999999999996</v>
      </c>
    </row>
    <row r="11" spans="1:12" x14ac:dyDescent="0.2">
      <c r="A11">
        <v>10</v>
      </c>
      <c r="B11" t="s">
        <v>33</v>
      </c>
      <c r="C11" t="s">
        <v>34</v>
      </c>
      <c r="D11" s="3">
        <v>0</v>
      </c>
      <c r="E11" t="s">
        <v>13</v>
      </c>
      <c r="F11" s="4">
        <v>17410</v>
      </c>
      <c r="G11">
        <v>163</v>
      </c>
      <c r="H11">
        <v>69</v>
      </c>
      <c r="I11" s="3">
        <v>1</v>
      </c>
      <c r="J11">
        <v>36</v>
      </c>
      <c r="K11" s="5">
        <v>1.5</v>
      </c>
      <c r="L11" s="5">
        <f t="shared" si="0"/>
        <v>54</v>
      </c>
    </row>
    <row r="12" spans="1:12" x14ac:dyDescent="0.2">
      <c r="A12">
        <v>11</v>
      </c>
      <c r="B12" t="s">
        <v>35</v>
      </c>
      <c r="C12" t="s">
        <v>36</v>
      </c>
      <c r="D12" s="3">
        <v>0</v>
      </c>
      <c r="E12" t="s">
        <v>16</v>
      </c>
      <c r="F12" s="4">
        <v>27804</v>
      </c>
      <c r="G12">
        <v>181</v>
      </c>
      <c r="H12">
        <v>61</v>
      </c>
      <c r="I12" s="3">
        <v>1</v>
      </c>
      <c r="J12">
        <v>66</v>
      </c>
      <c r="K12" s="5">
        <v>1.2</v>
      </c>
      <c r="L12" s="5">
        <f t="shared" si="0"/>
        <v>79.2</v>
      </c>
    </row>
    <row r="13" spans="1:12" x14ac:dyDescent="0.2">
      <c r="A13">
        <v>12</v>
      </c>
      <c r="B13" t="s">
        <v>37</v>
      </c>
      <c r="C13" t="s">
        <v>38</v>
      </c>
      <c r="D13" s="3">
        <v>0</v>
      </c>
      <c r="E13" t="s">
        <v>26</v>
      </c>
      <c r="F13" s="4">
        <v>29075</v>
      </c>
      <c r="G13">
        <v>174</v>
      </c>
      <c r="H13">
        <v>52</v>
      </c>
      <c r="I13" s="3">
        <v>1</v>
      </c>
      <c r="J13">
        <v>67</v>
      </c>
      <c r="K13" s="5">
        <v>1.1000000000000001</v>
      </c>
      <c r="L13" s="5">
        <f t="shared" si="0"/>
        <v>73.7</v>
      </c>
    </row>
    <row r="14" spans="1:12" x14ac:dyDescent="0.2">
      <c r="A14">
        <v>13</v>
      </c>
      <c r="B14" t="s">
        <v>39</v>
      </c>
      <c r="C14" t="s">
        <v>40</v>
      </c>
      <c r="D14" s="3">
        <v>1</v>
      </c>
      <c r="E14" t="s">
        <v>23</v>
      </c>
      <c r="F14" s="4">
        <v>24729</v>
      </c>
      <c r="G14">
        <v>159</v>
      </c>
      <c r="H14">
        <v>82</v>
      </c>
      <c r="I14" s="3">
        <v>0</v>
      </c>
      <c r="J14">
        <v>52</v>
      </c>
      <c r="K14" s="5">
        <v>1.4</v>
      </c>
      <c r="L14" s="5">
        <f t="shared" si="0"/>
        <v>72.8</v>
      </c>
    </row>
    <row r="17" spans="2:8" x14ac:dyDescent="0.2">
      <c r="B17" s="16" t="s">
        <v>41</v>
      </c>
      <c r="C17" s="7" t="s">
        <v>70</v>
      </c>
    </row>
    <row r="18" spans="2:8" x14ac:dyDescent="0.2">
      <c r="B18" s="13" t="s">
        <v>1</v>
      </c>
      <c r="C18" t="str">
        <f>HLOOKUP(B18,A1:L14,5,0)</f>
        <v>Matyáš</v>
      </c>
    </row>
    <row r="19" spans="2:8" x14ac:dyDescent="0.2">
      <c r="B19" s="24" t="s">
        <v>92</v>
      </c>
    </row>
    <row r="21" spans="2:8" x14ac:dyDescent="0.2">
      <c r="B21" s="16" t="s">
        <v>41</v>
      </c>
      <c r="C21" s="7" t="s">
        <v>70</v>
      </c>
      <c r="H21" s="3"/>
    </row>
    <row r="22" spans="2:8" x14ac:dyDescent="0.2">
      <c r="B22" s="14" t="s">
        <v>3</v>
      </c>
      <c r="C22" t="str">
        <f>HLOOKUP(B22,A1:L14,3,0)</f>
        <v>Ostrava</v>
      </c>
      <c r="H22" s="3"/>
    </row>
    <row r="23" spans="2:8" x14ac:dyDescent="0.2">
      <c r="B23" s="24" t="s">
        <v>94</v>
      </c>
      <c r="H23" s="3"/>
    </row>
    <row r="24" spans="2:8" x14ac:dyDescent="0.2">
      <c r="H24" s="3"/>
    </row>
    <row r="25" spans="2:8" x14ac:dyDescent="0.2">
      <c r="B25" s="16" t="s">
        <v>41</v>
      </c>
      <c r="C25" s="7" t="s">
        <v>70</v>
      </c>
      <c r="H25" s="3"/>
    </row>
    <row r="26" spans="2:8" x14ac:dyDescent="0.2">
      <c r="B26" s="22" t="s">
        <v>6</v>
      </c>
      <c r="C26">
        <f>HLOOKUP(B26,A1:L14,12,0)</f>
        <v>61</v>
      </c>
    </row>
    <row r="27" spans="2:8" x14ac:dyDescent="0.2">
      <c r="B27" t="s">
        <v>93</v>
      </c>
    </row>
    <row r="29" spans="2:8" x14ac:dyDescent="0.2">
      <c r="B29" s="16"/>
      <c r="C29" s="7"/>
    </row>
  </sheetData>
  <pageMargins left="0.78740157499999996" right="0.78740157499999996" top="0.984251969" bottom="0.984251969" header="0.4921259845" footer="0.4921259845"/>
  <pageSetup paperSize="256" orientation="portrait" horizontalDpi="120" verticalDpi="144" copies="0" r:id="rId1"/>
  <headerFooter alignWithMargins="0">
    <oddHeader>&amp;A</oddHeader>
    <oddFooter>Strana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4"/>
  <sheetViews>
    <sheetView topLeftCell="A32" zoomScale="130" workbookViewId="0">
      <selection activeCell="C45" sqref="C45"/>
    </sheetView>
  </sheetViews>
  <sheetFormatPr defaultRowHeight="12.75" x14ac:dyDescent="0.2"/>
  <cols>
    <col min="1" max="1" width="3" bestFit="1" customWidth="1"/>
    <col min="2" max="2" width="16.42578125" bestFit="1" customWidth="1"/>
    <col min="3" max="3" width="26.7109375" bestFit="1" customWidth="1"/>
    <col min="4" max="4" width="3.7109375" style="3" customWidth="1"/>
    <col min="5" max="5" width="12.140625" customWidth="1"/>
    <col min="6" max="6" width="10.7109375" customWidth="1"/>
    <col min="7" max="8" width="5.7109375" customWidth="1"/>
    <col min="9" max="9" width="3.7109375" style="3" customWidth="1"/>
    <col min="10" max="12" width="5.7109375" customWidth="1"/>
  </cols>
  <sheetData>
    <row r="1" spans="1:12" s="2" customFormat="1" ht="13.5" thickBot="1" x14ac:dyDescent="0.25">
      <c r="A1" s="2" t="s">
        <v>53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">
      <c r="A2">
        <v>1</v>
      </c>
      <c r="B2" t="s">
        <v>11</v>
      </c>
      <c r="C2" t="s">
        <v>12</v>
      </c>
      <c r="D2" s="3">
        <v>0</v>
      </c>
      <c r="E2" t="s">
        <v>13</v>
      </c>
      <c r="F2" s="4">
        <v>22986</v>
      </c>
      <c r="G2">
        <v>175</v>
      </c>
      <c r="H2">
        <v>72</v>
      </c>
      <c r="I2" s="3">
        <v>1</v>
      </c>
      <c r="J2">
        <v>45</v>
      </c>
      <c r="K2" s="5">
        <v>1.5</v>
      </c>
      <c r="L2" s="5">
        <f t="shared" ref="L2:L14" si="0">J2*K2</f>
        <v>67.5</v>
      </c>
    </row>
    <row r="3" spans="1:12" x14ac:dyDescent="0.2">
      <c r="A3">
        <v>2</v>
      </c>
      <c r="B3" t="s">
        <v>14</v>
      </c>
      <c r="C3" t="s">
        <v>15</v>
      </c>
      <c r="D3" s="3">
        <v>0</v>
      </c>
      <c r="E3" t="s">
        <v>16</v>
      </c>
      <c r="F3" s="4">
        <v>24940</v>
      </c>
      <c r="G3">
        <v>159</v>
      </c>
      <c r="H3">
        <v>46</v>
      </c>
      <c r="I3" s="3">
        <v>1</v>
      </c>
      <c r="J3">
        <v>29</v>
      </c>
      <c r="K3" s="5">
        <v>1.6</v>
      </c>
      <c r="L3" s="5">
        <f t="shared" si="0"/>
        <v>46.400000000000006</v>
      </c>
    </row>
    <row r="4" spans="1:12" x14ac:dyDescent="0.2">
      <c r="A4">
        <v>3</v>
      </c>
      <c r="B4" t="s">
        <v>17</v>
      </c>
      <c r="C4" t="s">
        <v>18</v>
      </c>
      <c r="D4" s="3">
        <v>0</v>
      </c>
      <c r="E4" t="s">
        <v>16</v>
      </c>
      <c r="F4" s="4">
        <v>16074</v>
      </c>
      <c r="G4">
        <v>169</v>
      </c>
      <c r="H4">
        <v>78</v>
      </c>
      <c r="I4" s="3">
        <v>0</v>
      </c>
      <c r="J4">
        <v>64</v>
      </c>
      <c r="K4" s="5">
        <v>1.3</v>
      </c>
      <c r="L4" s="5">
        <f t="shared" si="0"/>
        <v>83.2</v>
      </c>
    </row>
    <row r="5" spans="1:12" x14ac:dyDescent="0.2">
      <c r="A5">
        <v>4</v>
      </c>
      <c r="B5" t="s">
        <v>19</v>
      </c>
      <c r="C5" t="s">
        <v>20</v>
      </c>
      <c r="D5" s="3">
        <v>1</v>
      </c>
      <c r="E5" t="s">
        <v>13</v>
      </c>
      <c r="F5" s="4">
        <v>28223</v>
      </c>
      <c r="G5">
        <v>175</v>
      </c>
      <c r="H5">
        <v>74</v>
      </c>
      <c r="I5" s="3">
        <v>1</v>
      </c>
      <c r="J5">
        <v>44</v>
      </c>
      <c r="K5" s="5">
        <v>1.4</v>
      </c>
      <c r="L5" s="5">
        <f t="shared" si="0"/>
        <v>61.599999999999994</v>
      </c>
    </row>
    <row r="6" spans="1:12" x14ac:dyDescent="0.2">
      <c r="A6">
        <v>5</v>
      </c>
      <c r="B6" t="s">
        <v>21</v>
      </c>
      <c r="C6" t="s">
        <v>22</v>
      </c>
      <c r="D6" s="3">
        <v>0</v>
      </c>
      <c r="E6" t="s">
        <v>23</v>
      </c>
      <c r="F6" s="4">
        <v>23873</v>
      </c>
      <c r="G6">
        <v>177</v>
      </c>
      <c r="H6">
        <v>52</v>
      </c>
      <c r="I6" s="3">
        <v>0</v>
      </c>
      <c r="J6">
        <v>45</v>
      </c>
      <c r="K6" s="5">
        <v>1.2</v>
      </c>
      <c r="L6" s="6">
        <f t="shared" si="0"/>
        <v>54</v>
      </c>
    </row>
    <row r="7" spans="1:12" x14ac:dyDescent="0.2">
      <c r="A7">
        <v>6</v>
      </c>
      <c r="B7" t="s">
        <v>24</v>
      </c>
      <c r="C7" t="s">
        <v>25</v>
      </c>
      <c r="D7" s="3">
        <v>0</v>
      </c>
      <c r="E7" t="s">
        <v>26</v>
      </c>
      <c r="F7" s="4">
        <v>19911</v>
      </c>
      <c r="G7">
        <v>162</v>
      </c>
      <c r="H7">
        <v>71</v>
      </c>
      <c r="I7" s="3">
        <v>1</v>
      </c>
      <c r="J7">
        <v>36</v>
      </c>
      <c r="K7" s="5">
        <v>1.3</v>
      </c>
      <c r="L7" s="5">
        <f t="shared" si="0"/>
        <v>46.800000000000004</v>
      </c>
    </row>
    <row r="8" spans="1:12" x14ac:dyDescent="0.2">
      <c r="A8">
        <v>7</v>
      </c>
      <c r="B8" t="s">
        <v>27</v>
      </c>
      <c r="C8" t="s">
        <v>28</v>
      </c>
      <c r="D8" s="3">
        <v>0</v>
      </c>
      <c r="E8" t="s">
        <v>13</v>
      </c>
      <c r="F8" s="4">
        <v>21106</v>
      </c>
      <c r="G8">
        <v>195</v>
      </c>
      <c r="H8">
        <v>66</v>
      </c>
      <c r="I8" s="3">
        <v>0</v>
      </c>
      <c r="J8">
        <v>31</v>
      </c>
      <c r="K8" s="5">
        <v>1.3</v>
      </c>
      <c r="L8" s="5">
        <f t="shared" si="0"/>
        <v>40.300000000000004</v>
      </c>
    </row>
    <row r="9" spans="1:12" x14ac:dyDescent="0.2">
      <c r="A9">
        <v>8</v>
      </c>
      <c r="B9" t="s">
        <v>29</v>
      </c>
      <c r="C9" t="s">
        <v>30</v>
      </c>
      <c r="D9" s="3">
        <v>1</v>
      </c>
      <c r="E9" t="s">
        <v>26</v>
      </c>
      <c r="F9" s="4">
        <v>22233</v>
      </c>
      <c r="G9">
        <v>188</v>
      </c>
      <c r="H9">
        <v>88</v>
      </c>
      <c r="I9" s="3">
        <v>0</v>
      </c>
      <c r="J9">
        <v>75</v>
      </c>
      <c r="K9" s="5">
        <v>1.4</v>
      </c>
      <c r="L9" s="5">
        <f t="shared" si="0"/>
        <v>105</v>
      </c>
    </row>
    <row r="10" spans="1:12" x14ac:dyDescent="0.2">
      <c r="A10">
        <v>9</v>
      </c>
      <c r="B10" t="s">
        <v>31</v>
      </c>
      <c r="C10" t="s">
        <v>32</v>
      </c>
      <c r="D10" s="3">
        <v>1</v>
      </c>
      <c r="E10" t="s">
        <v>26</v>
      </c>
      <c r="F10" s="4">
        <v>26879</v>
      </c>
      <c r="G10">
        <v>190</v>
      </c>
      <c r="H10">
        <v>85</v>
      </c>
      <c r="I10" s="3">
        <v>0</v>
      </c>
      <c r="J10">
        <v>36</v>
      </c>
      <c r="K10" s="5">
        <v>1.2</v>
      </c>
      <c r="L10" s="5">
        <f t="shared" si="0"/>
        <v>43.199999999999996</v>
      </c>
    </row>
    <row r="11" spans="1:12" x14ac:dyDescent="0.2">
      <c r="A11">
        <v>10</v>
      </c>
      <c r="B11" t="s">
        <v>33</v>
      </c>
      <c r="C11" t="s">
        <v>34</v>
      </c>
      <c r="D11" s="3">
        <v>0</v>
      </c>
      <c r="E11" t="s">
        <v>13</v>
      </c>
      <c r="F11" s="4">
        <v>17410</v>
      </c>
      <c r="G11">
        <v>163</v>
      </c>
      <c r="H11">
        <v>69</v>
      </c>
      <c r="I11" s="3">
        <v>1</v>
      </c>
      <c r="J11">
        <v>36</v>
      </c>
      <c r="K11" s="5">
        <v>1.5</v>
      </c>
      <c r="L11" s="5">
        <f t="shared" si="0"/>
        <v>54</v>
      </c>
    </row>
    <row r="12" spans="1:12" x14ac:dyDescent="0.2">
      <c r="A12">
        <v>11</v>
      </c>
      <c r="B12" t="s">
        <v>35</v>
      </c>
      <c r="C12" t="s">
        <v>36</v>
      </c>
      <c r="D12" s="3">
        <v>0</v>
      </c>
      <c r="E12" t="s">
        <v>16</v>
      </c>
      <c r="F12" s="4">
        <v>27804</v>
      </c>
      <c r="G12">
        <v>181</v>
      </c>
      <c r="H12">
        <v>61</v>
      </c>
      <c r="I12" s="3">
        <v>1</v>
      </c>
      <c r="J12">
        <v>66</v>
      </c>
      <c r="K12" s="5">
        <v>1.2</v>
      </c>
      <c r="L12" s="5">
        <f t="shared" si="0"/>
        <v>79.2</v>
      </c>
    </row>
    <row r="13" spans="1:12" x14ac:dyDescent="0.2">
      <c r="A13">
        <v>12</v>
      </c>
      <c r="B13" t="s">
        <v>37</v>
      </c>
      <c r="C13" t="s">
        <v>38</v>
      </c>
      <c r="D13" s="3">
        <v>0</v>
      </c>
      <c r="E13" t="s">
        <v>26</v>
      </c>
      <c r="F13" s="4">
        <v>29075</v>
      </c>
      <c r="G13">
        <v>174</v>
      </c>
      <c r="H13">
        <v>52</v>
      </c>
      <c r="I13" s="3">
        <v>1</v>
      </c>
      <c r="J13">
        <v>67</v>
      </c>
      <c r="K13" s="5">
        <v>1.1000000000000001</v>
      </c>
      <c r="L13" s="5">
        <f t="shared" si="0"/>
        <v>73.7</v>
      </c>
    </row>
    <row r="14" spans="1:12" x14ac:dyDescent="0.2">
      <c r="A14">
        <v>13</v>
      </c>
      <c r="B14" t="s">
        <v>39</v>
      </c>
      <c r="C14" t="s">
        <v>40</v>
      </c>
      <c r="D14" s="3">
        <v>1</v>
      </c>
      <c r="E14" t="s">
        <v>23</v>
      </c>
      <c r="F14" s="4">
        <v>24729</v>
      </c>
      <c r="G14">
        <v>159</v>
      </c>
      <c r="H14">
        <v>82</v>
      </c>
      <c r="I14" s="3">
        <v>0</v>
      </c>
      <c r="J14">
        <v>52</v>
      </c>
      <c r="K14" s="5">
        <v>1.4</v>
      </c>
      <c r="L14" s="5">
        <f t="shared" si="0"/>
        <v>72.8</v>
      </c>
    </row>
    <row r="16" spans="1:12" x14ac:dyDescent="0.2">
      <c r="D16"/>
      <c r="I16"/>
    </row>
    <row r="17" spans="1:12" x14ac:dyDescent="0.2">
      <c r="B17" s="22" t="s">
        <v>86</v>
      </c>
      <c r="D17"/>
      <c r="I17"/>
    </row>
    <row r="18" spans="1:12" x14ac:dyDescent="0.2">
      <c r="B18" t="s">
        <v>29</v>
      </c>
      <c r="C18">
        <f>ROW(B18)</f>
        <v>18</v>
      </c>
      <c r="D18" s="3">
        <f>ROW(B9)</f>
        <v>9</v>
      </c>
      <c r="I18"/>
    </row>
    <row r="19" spans="1:12" x14ac:dyDescent="0.2">
      <c r="B19" t="s">
        <v>40</v>
      </c>
      <c r="C19">
        <f>ROW(B19)</f>
        <v>19</v>
      </c>
      <c r="D19">
        <f>ROW(C14)</f>
        <v>14</v>
      </c>
      <c r="I19"/>
    </row>
    <row r="20" spans="1:12" x14ac:dyDescent="0.2">
      <c r="D20"/>
      <c r="I20"/>
    </row>
    <row r="21" spans="1:12" x14ac:dyDescent="0.2">
      <c r="B21" s="22" t="s">
        <v>87</v>
      </c>
      <c r="D21"/>
      <c r="I21"/>
    </row>
    <row r="22" spans="1:12" x14ac:dyDescent="0.2">
      <c r="B22" t="s">
        <v>88</v>
      </c>
      <c r="C22">
        <f>ROWS(A1:L14)</f>
        <v>14</v>
      </c>
      <c r="D22">
        <f>ROWS(A2:L14)</f>
        <v>13</v>
      </c>
      <c r="I22"/>
    </row>
    <row r="23" spans="1:12" x14ac:dyDescent="0.2">
      <c r="D23"/>
      <c r="I23"/>
    </row>
    <row r="24" spans="1:12" x14ac:dyDescent="0.2">
      <c r="B24" s="23" t="s">
        <v>90</v>
      </c>
      <c r="D24"/>
      <c r="I24"/>
    </row>
    <row r="25" spans="1:12" x14ac:dyDescent="0.2">
      <c r="B25" t="s">
        <v>3</v>
      </c>
      <c r="C25">
        <f>COLUMN(B25)</f>
        <v>2</v>
      </c>
      <c r="D25">
        <f>COLUMN(E1)</f>
        <v>5</v>
      </c>
      <c r="I25"/>
    </row>
    <row r="26" spans="1:12" x14ac:dyDescent="0.2">
      <c r="B26" t="s">
        <v>91</v>
      </c>
      <c r="C26">
        <f>COLUMN(B26)</f>
        <v>2</v>
      </c>
      <c r="D26">
        <f>COLUMN(K1)</f>
        <v>11</v>
      </c>
      <c r="I26"/>
    </row>
    <row r="27" spans="1:12" x14ac:dyDescent="0.2">
      <c r="D27"/>
      <c r="I27"/>
    </row>
    <row r="28" spans="1:12" s="3" customFormat="1" x14ac:dyDescent="0.2">
      <c r="A28"/>
      <c r="B28" s="23" t="s">
        <v>89</v>
      </c>
      <c r="C28"/>
      <c r="D28"/>
      <c r="E28"/>
      <c r="F28"/>
      <c r="G28"/>
      <c r="H28"/>
      <c r="I28"/>
      <c r="J28"/>
      <c r="K28"/>
      <c r="L28"/>
    </row>
    <row r="29" spans="1:12" x14ac:dyDescent="0.2">
      <c r="B29" t="s">
        <v>88</v>
      </c>
      <c r="C29">
        <f>COLUMNS(A1:L14)</f>
        <v>12</v>
      </c>
      <c r="D29"/>
      <c r="I29"/>
    </row>
    <row r="30" spans="1:12" x14ac:dyDescent="0.2">
      <c r="D30"/>
      <c r="I30"/>
    </row>
    <row r="31" spans="1:12" x14ac:dyDescent="0.2">
      <c r="B31" s="36" t="s">
        <v>107</v>
      </c>
      <c r="D31"/>
      <c r="I31"/>
    </row>
    <row r="32" spans="1:12" ht="22.5" x14ac:dyDescent="0.2">
      <c r="B32" s="37" t="s">
        <v>108</v>
      </c>
      <c r="C32" s="4">
        <f>INDEX(A1:L14,6,6)</f>
        <v>23873</v>
      </c>
      <c r="D32"/>
      <c r="I32"/>
    </row>
    <row r="33" spans="2:9" ht="22.5" x14ac:dyDescent="0.2">
      <c r="B33" s="37" t="s">
        <v>125</v>
      </c>
      <c r="C33" s="4" t="str">
        <f>INDEX(A1:L14,4,5)</f>
        <v>Ostrava</v>
      </c>
      <c r="D33"/>
      <c r="I33"/>
    </row>
    <row r="34" spans="2:9" ht="22.5" x14ac:dyDescent="0.2">
      <c r="B34" s="46" t="s">
        <v>126</v>
      </c>
      <c r="C34" s="4" t="str">
        <f>INDEX(A1:L14,7,3)</f>
        <v>Nataša</v>
      </c>
      <c r="D34"/>
      <c r="I34"/>
    </row>
    <row r="35" spans="2:9" x14ac:dyDescent="0.2">
      <c r="B35" s="38"/>
      <c r="D35"/>
      <c r="I35"/>
    </row>
    <row r="36" spans="2:9" x14ac:dyDescent="0.2">
      <c r="B36" s="36" t="s">
        <v>127</v>
      </c>
    </row>
    <row r="37" spans="2:9" ht="22.5" x14ac:dyDescent="0.2">
      <c r="B37" s="46" t="s">
        <v>128</v>
      </c>
      <c r="C37">
        <f>MATCH("Hugo",C1:C14,0)</f>
        <v>14</v>
      </c>
    </row>
    <row r="38" spans="2:9" ht="22.5" x14ac:dyDescent="0.2">
      <c r="B38" s="46" t="s">
        <v>129</v>
      </c>
      <c r="C38" t="e">
        <f>MATCH("31.08.1947",F1:F14,0)</f>
        <v>#N/A</v>
      </c>
    </row>
    <row r="39" spans="2:9" ht="22.5" x14ac:dyDescent="0.2">
      <c r="B39" s="46" t="s">
        <v>134</v>
      </c>
    </row>
    <row r="41" spans="2:9" x14ac:dyDescent="0.2">
      <c r="B41" s="22" t="s">
        <v>131</v>
      </c>
      <c r="C41" s="47" t="s">
        <v>135</v>
      </c>
    </row>
    <row r="42" spans="2:9" ht="22.5" x14ac:dyDescent="0.2">
      <c r="B42" s="46" t="s">
        <v>132</v>
      </c>
      <c r="C42" t="str">
        <f>VLOOKUP(A7,A2:L14,5,0)</f>
        <v>Praha</v>
      </c>
    </row>
    <row r="43" spans="2:9" ht="22.5" x14ac:dyDescent="0.2">
      <c r="B43" s="46" t="s">
        <v>133</v>
      </c>
      <c r="C43" t="str">
        <f>VLOOKUP(B14,B2:C14,2,0)</f>
        <v>Hugo</v>
      </c>
    </row>
    <row r="44" spans="2:9" ht="22.5" x14ac:dyDescent="0.2">
      <c r="B44" s="46" t="s">
        <v>130</v>
      </c>
      <c r="C44" t="str">
        <f>VLOOKUP(B11,B1:L14,4,0)</f>
        <v>Brno</v>
      </c>
    </row>
  </sheetData>
  <pageMargins left="0.78740157499999996" right="0.78740157499999996" top="0.984251969" bottom="0.984251969" header="0.4921259845" footer="0.4921259845"/>
  <pageSetup paperSize="256" orientation="portrait" horizontalDpi="120" verticalDpi="144" copies="0" r:id="rId1"/>
  <headerFooter alignWithMargins="0">
    <oddHeader>&amp;A</oddHeader>
    <oddFooter>Strana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7B3F-0A17-4C9D-83E0-E0C50C90911D}">
  <dimension ref="A1:H24"/>
  <sheetViews>
    <sheetView tabSelected="1" zoomScale="104" zoomScaleNormal="104" workbookViewId="0">
      <selection activeCell="D24" sqref="D24"/>
    </sheetView>
  </sheetViews>
  <sheetFormatPr defaultColWidth="9.140625" defaultRowHeight="12.75" x14ac:dyDescent="0.2"/>
  <cols>
    <col min="1" max="1" width="15.28515625" style="9" customWidth="1"/>
    <col min="2" max="2" width="18" style="9" bestFit="1" customWidth="1"/>
    <col min="3" max="3" width="11.85546875" style="9" bestFit="1" customWidth="1"/>
    <col min="4" max="4" width="11.5703125" style="9" bestFit="1" customWidth="1"/>
    <col min="5" max="5" width="11.85546875" style="9" bestFit="1" customWidth="1"/>
    <col min="6" max="16384" width="9.140625" style="9"/>
  </cols>
  <sheetData>
    <row r="1" spans="1:8" x14ac:dyDescent="0.2">
      <c r="A1" s="8" t="s">
        <v>43</v>
      </c>
      <c r="B1" s="32" t="s">
        <v>45</v>
      </c>
      <c r="C1" s="26" t="s">
        <v>44</v>
      </c>
      <c r="D1" s="27" t="s">
        <v>101</v>
      </c>
      <c r="E1" s="28" t="s">
        <v>69</v>
      </c>
      <c r="G1" s="25">
        <v>1</v>
      </c>
      <c r="H1" s="25" t="s">
        <v>46</v>
      </c>
    </row>
    <row r="2" spans="1:8" x14ac:dyDescent="0.2">
      <c r="A2" s="29">
        <v>32735</v>
      </c>
      <c r="B2" s="34">
        <f>WEEKDAY(A2,11)</f>
        <v>2</v>
      </c>
      <c r="C2" s="9" t="str" cm="1">
        <f t="array" ref="C2:C7">VLOOKUP(B2:B7,G1:H7,2,0)</f>
        <v>úterý</v>
      </c>
      <c r="D2" s="34" cm="1">
        <f t="array" ref="D2:D7">MONTH(A2:A7)</f>
        <v>8</v>
      </c>
      <c r="E2" s="34">
        <f>DAY(A2)</f>
        <v>15</v>
      </c>
      <c r="F2" s="34"/>
      <c r="G2" s="25">
        <v>2</v>
      </c>
      <c r="H2" s="25" t="s">
        <v>47</v>
      </c>
    </row>
    <row r="3" spans="1:8" x14ac:dyDescent="0.2">
      <c r="A3" s="29">
        <v>38449</v>
      </c>
      <c r="B3" s="34">
        <f>WEEKDAY(A3,11)</f>
        <v>4</v>
      </c>
      <c r="C3" s="9" t="str">
        <v>čtvrtek</v>
      </c>
      <c r="D3" s="34">
        <v>4</v>
      </c>
      <c r="E3" s="34">
        <f t="shared" ref="E3:E7" si="0">DAY(A3)</f>
        <v>7</v>
      </c>
      <c r="F3" s="34"/>
      <c r="G3" s="25">
        <v>3</v>
      </c>
      <c r="H3" s="25" t="s">
        <v>48</v>
      </c>
    </row>
    <row r="4" spans="1:8" x14ac:dyDescent="0.2">
      <c r="A4" s="29">
        <v>38266</v>
      </c>
      <c r="B4" s="34">
        <f>WEEKDAY(A4,11)</f>
        <v>3</v>
      </c>
      <c r="C4" s="9" t="str">
        <v>středa</v>
      </c>
      <c r="D4" s="34">
        <v>10</v>
      </c>
      <c r="E4" s="34">
        <f t="shared" si="0"/>
        <v>6</v>
      </c>
      <c r="F4" s="34"/>
      <c r="G4" s="25">
        <v>4</v>
      </c>
      <c r="H4" s="25" t="s">
        <v>49</v>
      </c>
    </row>
    <row r="5" spans="1:8" x14ac:dyDescent="0.2">
      <c r="A5" s="29">
        <v>27230</v>
      </c>
      <c r="B5" s="34">
        <f>WEEKDAY(A5,11)</f>
        <v>6</v>
      </c>
      <c r="C5" s="9" t="str">
        <v>sobota</v>
      </c>
      <c r="D5" s="34">
        <v>7</v>
      </c>
      <c r="E5" s="34">
        <f t="shared" si="0"/>
        <v>20</v>
      </c>
      <c r="F5" s="34"/>
      <c r="G5" s="25">
        <v>5</v>
      </c>
      <c r="H5" s="25" t="s">
        <v>50</v>
      </c>
    </row>
    <row r="6" spans="1:8" x14ac:dyDescent="0.2">
      <c r="A6" s="30">
        <v>23900</v>
      </c>
      <c r="B6" s="34">
        <f>WEEKDAY(A6,11)</f>
        <v>1</v>
      </c>
      <c r="C6" s="9" t="str">
        <v>pondělí</v>
      </c>
      <c r="D6" s="34">
        <v>6</v>
      </c>
      <c r="E6" s="34">
        <f t="shared" si="0"/>
        <v>7</v>
      </c>
      <c r="F6" s="34"/>
      <c r="G6" s="25">
        <v>6</v>
      </c>
      <c r="H6" s="25" t="s">
        <v>51</v>
      </c>
    </row>
    <row r="7" spans="1:8" x14ac:dyDescent="0.2">
      <c r="A7" s="29">
        <v>43651</v>
      </c>
      <c r="B7" s="34">
        <f>WEEKDAY(A7,11)</f>
        <v>5</v>
      </c>
      <c r="C7" s="9" t="str">
        <v>pátek</v>
      </c>
      <c r="D7" s="34">
        <v>7</v>
      </c>
      <c r="E7" s="34">
        <f t="shared" si="0"/>
        <v>5</v>
      </c>
      <c r="F7" s="34"/>
      <c r="G7" s="25">
        <v>7</v>
      </c>
      <c r="H7" s="25" t="s">
        <v>52</v>
      </c>
    </row>
    <row r="9" spans="1:8" x14ac:dyDescent="0.2">
      <c r="B9" s="11" t="s">
        <v>67</v>
      </c>
    </row>
    <row r="10" spans="1:8" x14ac:dyDescent="0.2">
      <c r="B10" s="26" t="s">
        <v>104</v>
      </c>
    </row>
    <row r="11" spans="1:8" x14ac:dyDescent="0.2">
      <c r="B11" s="27" t="s">
        <v>102</v>
      </c>
    </row>
    <row r="12" spans="1:8" x14ac:dyDescent="0.2">
      <c r="B12" s="28" t="s">
        <v>103</v>
      </c>
    </row>
    <row r="14" spans="1:8" x14ac:dyDescent="0.2">
      <c r="B14" s="8" t="s">
        <v>105</v>
      </c>
      <c r="C14" s="33" t="s">
        <v>45</v>
      </c>
      <c r="D14" s="33" t="s">
        <v>68</v>
      </c>
      <c r="E14" s="33" t="s">
        <v>69</v>
      </c>
      <c r="F14" s="33" t="s">
        <v>96</v>
      </c>
      <c r="G14" s="33" t="s">
        <v>101</v>
      </c>
    </row>
    <row r="15" spans="1:8" x14ac:dyDescent="0.2">
      <c r="A15" s="31" t="s">
        <v>65</v>
      </c>
      <c r="B15" s="54">
        <f ca="1">TODAY()</f>
        <v>45995</v>
      </c>
      <c r="C15" s="34">
        <f ca="1">WEEKDAY(B15)</f>
        <v>5</v>
      </c>
      <c r="D15" s="34" t="str">
        <f ca="1">VLOOKUP(C15,G1:H7,2,0)</f>
        <v>pátek</v>
      </c>
      <c r="E15" s="34">
        <f ca="1">DAY(B15)</f>
        <v>4</v>
      </c>
      <c r="F15" s="34">
        <f ca="1">YEAR(B15)</f>
        <v>2025</v>
      </c>
      <c r="G15" s="34">
        <f ca="1">MONTH(B15)</f>
        <v>12</v>
      </c>
    </row>
    <row r="16" spans="1:8" x14ac:dyDescent="0.2">
      <c r="A16" s="31"/>
      <c r="B16" s="10"/>
    </row>
    <row r="17" spans="1:6" x14ac:dyDescent="0.2">
      <c r="B17" s="8" t="s">
        <v>106</v>
      </c>
    </row>
    <row r="18" spans="1:6" x14ac:dyDescent="0.2">
      <c r="C18" s="35" t="s">
        <v>96</v>
      </c>
      <c r="D18" s="35" t="s">
        <v>97</v>
      </c>
      <c r="E18" s="35" t="s">
        <v>98</v>
      </c>
      <c r="F18" s="35" t="s">
        <v>99</v>
      </c>
    </row>
    <row r="19" spans="1:6" x14ac:dyDescent="0.2">
      <c r="A19" s="8" t="s">
        <v>66</v>
      </c>
      <c r="B19" s="55">
        <f ca="1">NOW()</f>
        <v>45995.397556944445</v>
      </c>
      <c r="C19" s="34">
        <f ca="1">YEAR(B19)</f>
        <v>2025</v>
      </c>
      <c r="D19" s="34">
        <f ca="1">HOUR(B19)</f>
        <v>9</v>
      </c>
      <c r="E19" s="34">
        <f ca="1">MINUTE(B19)</f>
        <v>32</v>
      </c>
      <c r="F19" s="34">
        <f ca="1">SECOND(B19)</f>
        <v>29</v>
      </c>
    </row>
    <row r="22" spans="1:6" x14ac:dyDescent="0.2">
      <c r="A22" s="11" t="s">
        <v>95</v>
      </c>
    </row>
    <row r="23" spans="1:6" x14ac:dyDescent="0.2">
      <c r="C23" s="33" t="s">
        <v>45</v>
      </c>
      <c r="D23" s="33" t="s">
        <v>68</v>
      </c>
      <c r="E23" s="33" t="s">
        <v>69</v>
      </c>
      <c r="F23" s="33" t="s">
        <v>96</v>
      </c>
    </row>
    <row r="24" spans="1:6" x14ac:dyDescent="0.2">
      <c r="A24" s="9" t="s">
        <v>100</v>
      </c>
      <c r="B24" s="10">
        <v>39727</v>
      </c>
      <c r="C24" s="9">
        <f>WEEKDAY(B24)</f>
        <v>2</v>
      </c>
      <c r="D24" s="9" t="str">
        <f>VLOOKUP(C24,G1:H7,2,0)</f>
        <v>úterý</v>
      </c>
      <c r="E24" s="9">
        <f>DAY(B24)</f>
        <v>6</v>
      </c>
      <c r="F24" s="9">
        <f>YEAR(B24)</f>
        <v>2008</v>
      </c>
    </row>
  </sheetData>
  <pageMargins left="0.78740157499999996" right="0.78740157499999996" top="0.984251969" bottom="0.984251969" header="0.4921259845" footer="0.4921259845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6</vt:i4>
      </vt:variant>
      <vt:variant>
        <vt:lpstr>Pojmenované oblasti</vt:lpstr>
      </vt:variant>
      <vt:variant>
        <vt:i4>4</vt:i4>
      </vt:variant>
    </vt:vector>
  </HeadingPairs>
  <TitlesOfParts>
    <vt:vector size="10" baseType="lpstr">
      <vt:lpstr>Svyhledat_1</vt:lpstr>
      <vt:lpstr>Svyhledat_2</vt:lpstr>
      <vt:lpstr>Svyhledat_3</vt:lpstr>
      <vt:lpstr>Vvyhledat</vt:lpstr>
      <vt:lpstr>Vyhledávací</vt:lpstr>
      <vt:lpstr>Datumové</vt:lpstr>
      <vt:lpstr>Svyhledat_1!Osoby</vt:lpstr>
      <vt:lpstr>Vvyhledat!Osoby</vt:lpstr>
      <vt:lpstr>Vyhledávací!Osoby</vt:lpstr>
      <vt:lpstr>Osoby</vt:lpstr>
    </vt:vector>
  </TitlesOfParts>
  <Company>S COMP Centre CZ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S-COMP Centre CZ s.r.o.</dc:creator>
  <cp:lastModifiedBy>Jan Syrovec</cp:lastModifiedBy>
  <dcterms:created xsi:type="dcterms:W3CDTF">2005-10-19T17:42:23Z</dcterms:created>
  <dcterms:modified xsi:type="dcterms:W3CDTF">2025-12-04T08:33:49Z</dcterms:modified>
</cp:coreProperties>
</file>