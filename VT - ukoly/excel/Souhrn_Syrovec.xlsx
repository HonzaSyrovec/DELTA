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Sy\Desktop\VT - ukoly\excel\"/>
    </mc:Choice>
  </mc:AlternateContent>
  <xr:revisionPtr revIDLastSave="0" documentId="8_{2B83E430-ED96-44B0-A426-19607DD9196F}" xr6:coauthVersionLast="47" xr6:coauthVersionMax="47" xr10:uidLastSave="{00000000-0000-0000-0000-000000000000}"/>
  <bookViews>
    <workbookView xWindow="-120" yWindow="-120" windowWidth="29040" windowHeight="15720" tabRatio="615" activeTab="9" xr2:uid="{00000000-000D-0000-FFFF-FFFF00000000}"/>
  </bookViews>
  <sheets>
    <sheet name="Souhrny 1" sheetId="7" r:id="rId1"/>
    <sheet name="Souhrny 2" sheetId="5" r:id="rId2"/>
    <sheet name="Souhrny 3" sheetId="6" r:id="rId3"/>
    <sheet name="Souhrny 4" sheetId="9" r:id="rId4"/>
    <sheet name="Souhrny 5" sheetId="12" r:id="rId5"/>
    <sheet name="Souhrny 6" sheetId="13" r:id="rId6"/>
    <sheet name="Souhrny 7" sheetId="14" r:id="rId7"/>
    <sheet name="Souhrny 8" sheetId="15" r:id="rId8"/>
    <sheet name="Seskupení 1" sheetId="10" r:id="rId9"/>
    <sheet name="Seskupení 2" sheetId="11" r:id="rId10"/>
  </sheets>
  <definedNames>
    <definedName name="_xlnm._FilterDatabase" localSheetId="8" hidden="1">'Seskupení 1'!$A$4:$F$88</definedName>
    <definedName name="_xlnm._FilterDatabase" localSheetId="3" hidden="1">'Souhrny 4'!$A$6:$G$76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1" i="15" l="1"/>
  <c r="F175" i="15"/>
  <c r="F173" i="15"/>
  <c r="F171" i="15"/>
  <c r="F169" i="15"/>
  <c r="F166" i="15"/>
  <c r="F162" i="15"/>
  <c r="F159" i="15"/>
  <c r="F157" i="15"/>
  <c r="F155" i="15"/>
  <c r="F153" i="15"/>
  <c r="F150" i="15"/>
  <c r="F147" i="15"/>
  <c r="F145" i="15"/>
  <c r="F143" i="15"/>
  <c r="F141" i="15"/>
  <c r="F138" i="15"/>
  <c r="F132" i="15"/>
  <c r="F130" i="15"/>
  <c r="F128" i="15"/>
  <c r="F126" i="15"/>
  <c r="F123" i="15"/>
  <c r="F118" i="15"/>
  <c r="F115" i="15"/>
  <c r="F113" i="15"/>
  <c r="F111" i="15"/>
  <c r="F109" i="15"/>
  <c r="F105" i="15"/>
  <c r="F102" i="15"/>
  <c r="F100" i="15"/>
  <c r="F98" i="15"/>
  <c r="F96" i="15"/>
  <c r="F93" i="15"/>
  <c r="F87" i="15"/>
  <c r="F85" i="15"/>
  <c r="F83" i="15"/>
  <c r="F80" i="15"/>
  <c r="F77" i="15"/>
  <c r="F73" i="15"/>
  <c r="F70" i="15"/>
  <c r="F68" i="15"/>
  <c r="F66" i="15"/>
  <c r="F64" i="15"/>
  <c r="F60" i="15"/>
  <c r="F57" i="15"/>
  <c r="F55" i="15"/>
  <c r="F53" i="15"/>
  <c r="F51" i="15"/>
  <c r="F48" i="15"/>
  <c r="F43" i="15"/>
  <c r="F41" i="15"/>
  <c r="F38" i="15"/>
  <c r="F35" i="15"/>
  <c r="F33" i="15"/>
  <c r="F30" i="15"/>
  <c r="F27" i="15"/>
  <c r="F25" i="15"/>
  <c r="F23" i="15"/>
  <c r="F21" i="15"/>
  <c r="F18" i="15"/>
  <c r="F14" i="15"/>
  <c r="F12" i="15"/>
  <c r="F10" i="15"/>
  <c r="F8" i="15"/>
  <c r="F183" i="15" s="1"/>
  <c r="F133" i="14"/>
  <c r="F130" i="14"/>
  <c r="F126" i="14"/>
  <c r="F122" i="14"/>
  <c r="F134" i="14" s="1"/>
  <c r="F102" i="14"/>
  <c r="F95" i="14"/>
  <c r="F91" i="14"/>
  <c r="F74" i="14"/>
  <c r="F103" i="14" s="1"/>
  <c r="F69" i="14"/>
  <c r="F54" i="14"/>
  <c r="F49" i="14"/>
  <c r="F40" i="14"/>
  <c r="F70" i="14" s="1"/>
  <c r="F36" i="14"/>
  <c r="F30" i="14"/>
  <c r="F17" i="14"/>
  <c r="F11" i="14"/>
  <c r="F37" i="14" s="1"/>
  <c r="F135" i="14" s="1"/>
  <c r="D129" i="13"/>
  <c r="D125" i="13"/>
  <c r="D121" i="13"/>
  <c r="D117" i="13"/>
  <c r="D113" i="13"/>
  <c r="D109" i="13"/>
  <c r="D105" i="13"/>
  <c r="D101" i="13"/>
  <c r="D97" i="13"/>
  <c r="D93" i="13"/>
  <c r="D88" i="13"/>
  <c r="D84" i="13"/>
  <c r="D80" i="13"/>
  <c r="D76" i="13"/>
  <c r="D72" i="13"/>
  <c r="D67" i="13"/>
  <c r="D63" i="13"/>
  <c r="D59" i="13"/>
  <c r="D55" i="13"/>
  <c r="D51" i="13"/>
  <c r="D46" i="13"/>
  <c r="D42" i="13"/>
  <c r="D38" i="13"/>
  <c r="D34" i="13"/>
  <c r="D30" i="13"/>
  <c r="D25" i="13"/>
  <c r="D21" i="13"/>
  <c r="D17" i="13"/>
  <c r="D13" i="13"/>
  <c r="D9" i="13"/>
  <c r="D131" i="13" s="1"/>
  <c r="E130" i="13"/>
  <c r="E110" i="13"/>
  <c r="E89" i="13"/>
  <c r="E68" i="13"/>
  <c r="E47" i="13"/>
  <c r="E26" i="13"/>
  <c r="E132" i="13" s="1"/>
  <c r="E117" i="12"/>
  <c r="E111" i="12"/>
  <c r="E106" i="12"/>
  <c r="E99" i="12"/>
  <c r="E93" i="12"/>
  <c r="E87" i="12"/>
  <c r="E80" i="12"/>
  <c r="E74" i="12"/>
  <c r="E68" i="12"/>
  <c r="E81" i="12" s="1"/>
  <c r="E61" i="12"/>
  <c r="E55" i="12"/>
  <c r="E49" i="12"/>
  <c r="E62" i="12" s="1"/>
  <c r="E42" i="12"/>
  <c r="E36" i="12"/>
  <c r="E30" i="12"/>
  <c r="E43" i="12" s="1"/>
  <c r="E23" i="12"/>
  <c r="E17" i="12"/>
  <c r="E11" i="12"/>
  <c r="E118" i="12"/>
  <c r="E100" i="12"/>
  <c r="E24" i="12"/>
  <c r="F131" i="6"/>
  <c r="E131" i="6"/>
  <c r="F127" i="6"/>
  <c r="E127" i="6"/>
  <c r="F123" i="6"/>
  <c r="E123" i="6"/>
  <c r="F119" i="6"/>
  <c r="E119" i="6"/>
  <c r="F115" i="6"/>
  <c r="E115" i="6"/>
  <c r="F111" i="6"/>
  <c r="E111" i="6"/>
  <c r="F107" i="6"/>
  <c r="E107" i="6"/>
  <c r="F103" i="6"/>
  <c r="F112" i="6" s="1"/>
  <c r="E103" i="6"/>
  <c r="E112" i="6" s="1"/>
  <c r="F99" i="6"/>
  <c r="E99" i="6"/>
  <c r="F95" i="6"/>
  <c r="E95" i="6"/>
  <c r="F90" i="6"/>
  <c r="E90" i="6"/>
  <c r="F86" i="6"/>
  <c r="E86" i="6"/>
  <c r="F82" i="6"/>
  <c r="E82" i="6"/>
  <c r="F78" i="6"/>
  <c r="E78" i="6"/>
  <c r="F74" i="6"/>
  <c r="F91" i="6" s="1"/>
  <c r="E74" i="6"/>
  <c r="E91" i="6" s="1"/>
  <c r="F69" i="6"/>
  <c r="E69" i="6"/>
  <c r="F65" i="6"/>
  <c r="E65" i="6"/>
  <c r="F61" i="6"/>
  <c r="E61" i="6"/>
  <c r="F57" i="6"/>
  <c r="E57" i="6"/>
  <c r="E70" i="6" s="1"/>
  <c r="F53" i="6"/>
  <c r="E53" i="6"/>
  <c r="F48" i="6"/>
  <c r="E48" i="6"/>
  <c r="F44" i="6"/>
  <c r="E44" i="6"/>
  <c r="F40" i="6"/>
  <c r="E40" i="6"/>
  <c r="F36" i="6"/>
  <c r="F49" i="6" s="1"/>
  <c r="E36" i="6"/>
  <c r="E49" i="6" s="1"/>
  <c r="F32" i="6"/>
  <c r="E32" i="6"/>
  <c r="F27" i="6"/>
  <c r="E27" i="6"/>
  <c r="F23" i="6"/>
  <c r="E23" i="6"/>
  <c r="F19" i="6"/>
  <c r="E19" i="6"/>
  <c r="F15" i="6"/>
  <c r="E15" i="6"/>
  <c r="F11" i="6"/>
  <c r="F28" i="6" s="1"/>
  <c r="E11" i="6"/>
  <c r="E28" i="6" s="1"/>
  <c r="F132" i="6"/>
  <c r="E132" i="6"/>
  <c r="F70" i="6"/>
  <c r="E126" i="5"/>
  <c r="E122" i="5"/>
  <c r="E118" i="5"/>
  <c r="E114" i="5"/>
  <c r="E110" i="5"/>
  <c r="E107" i="5"/>
  <c r="E103" i="5"/>
  <c r="E99" i="5"/>
  <c r="E95" i="5"/>
  <c r="E91" i="5"/>
  <c r="E87" i="5"/>
  <c r="E83" i="5"/>
  <c r="E79" i="5"/>
  <c r="E75" i="5"/>
  <c r="E71" i="5"/>
  <c r="E67" i="5"/>
  <c r="E63" i="5"/>
  <c r="E59" i="5"/>
  <c r="E55" i="5"/>
  <c r="E51" i="5"/>
  <c r="E47" i="5"/>
  <c r="E43" i="5"/>
  <c r="E39" i="5"/>
  <c r="E35" i="5"/>
  <c r="E31" i="5"/>
  <c r="E27" i="5"/>
  <c r="E23" i="5"/>
  <c r="E19" i="5"/>
  <c r="E15" i="5"/>
  <c r="E11" i="5"/>
  <c r="E127" i="5" s="1"/>
  <c r="F102" i="7"/>
  <c r="E102" i="7"/>
  <c r="D102" i="7"/>
  <c r="F94" i="7"/>
  <c r="E94" i="7"/>
  <c r="D94" i="7"/>
  <c r="F86" i="7"/>
  <c r="E86" i="7"/>
  <c r="D86" i="7"/>
  <c r="F78" i="7"/>
  <c r="E78" i="7"/>
  <c r="D78" i="7"/>
  <c r="F70" i="7"/>
  <c r="E70" i="7"/>
  <c r="D70" i="7"/>
  <c r="F62" i="7"/>
  <c r="E62" i="7"/>
  <c r="D62" i="7"/>
  <c r="F54" i="7"/>
  <c r="E54" i="7"/>
  <c r="D54" i="7"/>
  <c r="F46" i="7"/>
  <c r="E46" i="7"/>
  <c r="D46" i="7"/>
  <c r="F38" i="7"/>
  <c r="E38" i="7"/>
  <c r="D38" i="7"/>
  <c r="F30" i="7"/>
  <c r="E30" i="7"/>
  <c r="D30" i="7"/>
  <c r="F22" i="7"/>
  <c r="E22" i="7"/>
  <c r="D22" i="7"/>
  <c r="F14" i="7"/>
  <c r="F103" i="7" s="1"/>
  <c r="E14" i="7"/>
  <c r="E103" i="7" s="1"/>
  <c r="D14" i="7"/>
  <c r="D103" i="7" s="1"/>
  <c r="G7" i="15"/>
  <c r="G50" i="15"/>
  <c r="G24" i="15"/>
  <c r="G95" i="15"/>
  <c r="G139" i="15" s="1"/>
  <c r="G125" i="15"/>
  <c r="G140" i="15"/>
  <c r="G9" i="15"/>
  <c r="G52" i="15"/>
  <c r="G97" i="15"/>
  <c r="G142" i="15"/>
  <c r="G11" i="15"/>
  <c r="G54" i="15"/>
  <c r="G124" i="15"/>
  <c r="G34" i="15"/>
  <c r="G99" i="15"/>
  <c r="G144" i="15"/>
  <c r="G13" i="15"/>
  <c r="G56" i="15"/>
  <c r="G101" i="15"/>
  <c r="G146" i="15"/>
  <c r="G17" i="15"/>
  <c r="G16" i="15"/>
  <c r="G59" i="15"/>
  <c r="G58" i="15"/>
  <c r="G104" i="15"/>
  <c r="G103" i="15"/>
  <c r="G149" i="15"/>
  <c r="G20" i="15"/>
  <c r="G63" i="15"/>
  <c r="G62" i="15"/>
  <c r="G108" i="15"/>
  <c r="G107" i="15"/>
  <c r="G148" i="15"/>
  <c r="G152" i="15"/>
  <c r="G22" i="15"/>
  <c r="G65" i="15"/>
  <c r="G61" i="15"/>
  <c r="G110" i="15"/>
  <c r="G37" i="15"/>
  <c r="G106" i="15"/>
  <c r="G127" i="15"/>
  <c r="G151" i="15"/>
  <c r="G154" i="15"/>
  <c r="G67" i="15"/>
  <c r="G112" i="15"/>
  <c r="G156" i="15"/>
  <c r="G26" i="15"/>
  <c r="G69" i="15"/>
  <c r="G114" i="15"/>
  <c r="G137" i="15"/>
  <c r="G36" i="15"/>
  <c r="G158" i="15"/>
  <c r="G29" i="15"/>
  <c r="G28" i="15"/>
  <c r="G72" i="15"/>
  <c r="G71" i="15"/>
  <c r="G117" i="15"/>
  <c r="G116" i="15"/>
  <c r="G161" i="15"/>
  <c r="G160" i="15"/>
  <c r="G32" i="15"/>
  <c r="G31" i="15"/>
  <c r="G76" i="15"/>
  <c r="G75" i="15"/>
  <c r="G74" i="15"/>
  <c r="G122" i="15"/>
  <c r="G165" i="15"/>
  <c r="G164" i="15"/>
  <c r="G47" i="15"/>
  <c r="G79" i="15"/>
  <c r="G78" i="15"/>
  <c r="G92" i="15"/>
  <c r="G121" i="15"/>
  <c r="G168" i="15"/>
  <c r="G167" i="15"/>
  <c r="G163" i="15"/>
  <c r="G82" i="15"/>
  <c r="G81" i="15"/>
  <c r="G136" i="15"/>
  <c r="G170" i="15"/>
  <c r="G180" i="15"/>
  <c r="G40" i="15"/>
  <c r="G39" i="15"/>
  <c r="G84" i="15"/>
  <c r="G91" i="15"/>
  <c r="G129" i="15"/>
  <c r="G135" i="15"/>
  <c r="G179" i="15"/>
  <c r="G172" i="15"/>
  <c r="G120" i="15"/>
  <c r="G15" i="15"/>
  <c r="G46" i="15"/>
  <c r="G42" i="15"/>
  <c r="G90" i="15"/>
  <c r="G86" i="15"/>
  <c r="G131" i="15"/>
  <c r="G178" i="15"/>
  <c r="G174" i="15"/>
  <c r="G45" i="15"/>
  <c r="G44" i="15"/>
  <c r="G89" i="15"/>
  <c r="G88" i="15"/>
  <c r="G134" i="15"/>
  <c r="G133" i="15"/>
  <c r="G177" i="15"/>
  <c r="G119" i="15"/>
  <c r="G19" i="15"/>
  <c r="G176" i="15"/>
  <c r="G104" i="14"/>
  <c r="G12" i="14"/>
  <c r="G75" i="14"/>
  <c r="G131" i="14"/>
  <c r="G76" i="14"/>
  <c r="G96" i="14"/>
  <c r="G55" i="14"/>
  <c r="G56" i="14"/>
  <c r="G31" i="14"/>
  <c r="G32" i="14"/>
  <c r="G105" i="14"/>
  <c r="G127" i="14"/>
  <c r="G77" i="14"/>
  <c r="G57" i="14"/>
  <c r="G58" i="14"/>
  <c r="G33" i="14"/>
  <c r="G34" i="14"/>
  <c r="G13" i="14"/>
  <c r="G78" i="14"/>
  <c r="G128" i="14"/>
  <c r="G129" i="14"/>
  <c r="G92" i="14"/>
  <c r="G97" i="14"/>
  <c r="G50" i="14"/>
  <c r="G59" i="14"/>
  <c r="G18" i="14"/>
  <c r="G19" i="14"/>
  <c r="G106" i="14"/>
  <c r="G107" i="14"/>
  <c r="G79" i="14"/>
  <c r="G41" i="14"/>
  <c r="G51" i="14"/>
  <c r="G108" i="14"/>
  <c r="G109" i="14"/>
  <c r="G132" i="14"/>
  <c r="G71" i="14"/>
  <c r="G38" i="14"/>
  <c r="G42" i="14"/>
  <c r="G60" i="14"/>
  <c r="G7" i="14"/>
  <c r="G110" i="14"/>
  <c r="G111" i="14"/>
  <c r="G80" i="14"/>
  <c r="G61" i="14"/>
  <c r="G62" i="14"/>
  <c r="G63" i="14"/>
  <c r="G8" i="14"/>
  <c r="G9" i="14"/>
  <c r="G112" i="14"/>
  <c r="G113" i="14"/>
  <c r="G72" i="14"/>
  <c r="G81" i="14"/>
  <c r="G39" i="14"/>
  <c r="G43" i="14"/>
  <c r="G10" i="14"/>
  <c r="G14" i="14"/>
  <c r="G114" i="14"/>
  <c r="G15" i="14"/>
  <c r="G93" i="14"/>
  <c r="G98" i="14"/>
  <c r="G64" i="14"/>
  <c r="G20" i="14"/>
  <c r="G115" i="14"/>
  <c r="G82" i="14"/>
  <c r="G65" i="14"/>
  <c r="G116" i="14"/>
  <c r="G123" i="14"/>
  <c r="G83" i="14"/>
  <c r="G84" i="14"/>
  <c r="G21" i="14"/>
  <c r="G99" i="14"/>
  <c r="G44" i="14"/>
  <c r="G45" i="14"/>
  <c r="G22" i="14"/>
  <c r="G117" i="14"/>
  <c r="G124" i="14"/>
  <c r="G85" i="14"/>
  <c r="G94" i="14"/>
  <c r="G46" i="14"/>
  <c r="G66" i="14"/>
  <c r="G23" i="14"/>
  <c r="G118" i="14"/>
  <c r="G86" i="14"/>
  <c r="G87" i="14"/>
  <c r="G47" i="14"/>
  <c r="G48" i="14"/>
  <c r="G16" i="14"/>
  <c r="G24" i="14"/>
  <c r="G125" i="14"/>
  <c r="G100" i="14"/>
  <c r="G52" i="14"/>
  <c r="G25" i="14"/>
  <c r="G119" i="14"/>
  <c r="G88" i="14"/>
  <c r="G26" i="14"/>
  <c r="G101" i="14"/>
  <c r="G53" i="14"/>
  <c r="G27" i="14"/>
  <c r="G120" i="14"/>
  <c r="G89" i="14"/>
  <c r="G67" i="14"/>
  <c r="G28" i="14"/>
  <c r="G121" i="14"/>
  <c r="G73" i="14"/>
  <c r="G90" i="14"/>
  <c r="G29" i="14"/>
  <c r="G68" i="14"/>
  <c r="G35" i="14"/>
  <c r="G25" i="9"/>
  <c r="G58" i="9"/>
  <c r="G47" i="9"/>
  <c r="G11" i="9"/>
  <c r="G10" i="9"/>
  <c r="G76" i="9"/>
  <c r="G75" i="9"/>
  <c r="G74" i="9"/>
  <c r="G73" i="9"/>
  <c r="G64" i="9"/>
  <c r="G26" i="9"/>
  <c r="G24" i="9"/>
  <c r="G23" i="9"/>
  <c r="G57" i="9"/>
  <c r="G46" i="9"/>
  <c r="G45" i="9"/>
  <c r="G44" i="9"/>
  <c r="G43" i="9"/>
  <c r="G9" i="9"/>
  <c r="G72" i="9"/>
  <c r="G63" i="9"/>
  <c r="G62" i="9"/>
  <c r="G22" i="9"/>
  <c r="G21" i="9"/>
  <c r="G20" i="9"/>
  <c r="G19" i="9"/>
  <c r="G42" i="9"/>
  <c r="G41" i="9"/>
  <c r="G8" i="9"/>
  <c r="G71" i="9"/>
  <c r="G61" i="9"/>
  <c r="G18" i="9"/>
  <c r="G56" i="9"/>
  <c r="G55" i="9"/>
  <c r="G40" i="9"/>
  <c r="G39" i="9"/>
  <c r="G17" i="9"/>
  <c r="G54" i="9"/>
  <c r="G38" i="9"/>
  <c r="G70" i="9"/>
  <c r="G16" i="9"/>
  <c r="G53" i="9"/>
  <c r="G52" i="9"/>
  <c r="G37" i="9"/>
  <c r="G36" i="9"/>
  <c r="G35" i="9"/>
  <c r="G69" i="9"/>
  <c r="G15" i="9"/>
  <c r="G14" i="9"/>
  <c r="G51" i="9"/>
  <c r="G34" i="9"/>
  <c r="G33" i="9"/>
  <c r="G32" i="9"/>
  <c r="G31" i="9"/>
  <c r="G7" i="9"/>
  <c r="G68" i="9"/>
  <c r="G13" i="9"/>
  <c r="G12" i="9"/>
  <c r="G50" i="9"/>
  <c r="G49" i="9"/>
  <c r="G48" i="9"/>
  <c r="G30" i="9"/>
  <c r="G29" i="9"/>
  <c r="G28" i="9"/>
  <c r="G27" i="9"/>
  <c r="G67" i="9"/>
  <c r="G66" i="9"/>
  <c r="G65" i="9"/>
  <c r="G60" i="9"/>
  <c r="G59" i="9"/>
  <c r="G94" i="15" l="1"/>
  <c r="G182" i="15"/>
  <c r="G49" i="15"/>
  <c r="G184" i="15" s="1"/>
  <c r="E119" i="12"/>
  <c r="F133" i="6"/>
  <c r="E13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Pomocí souhrnu vypočítejte:
</t>
        </r>
        <r>
          <rPr>
            <sz val="8"/>
            <color indexed="81"/>
            <rFont val="Tahoma"/>
            <family val="2"/>
            <charset val="238"/>
          </rPr>
          <t>- Součty výdajů za jednotlivé měsíce
- Ukotvěte příčky (6. řádek)
- Vytvořte konce stránek mezi skupinami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1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Pomocí souhrnu vypočítejte:
</t>
        </r>
        <r>
          <rPr>
            <sz val="8"/>
            <color indexed="81"/>
            <rFont val="Tahoma"/>
            <family val="2"/>
            <charset val="238"/>
          </rPr>
          <t>- Součty klientů podle jednotlivých zemí v jednotlivých měsících
- Ukotvěte příčky (7. řádek)
- Vytvořte konce stránek mezi skupinami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2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Pomocí souhrnu vypočítejte:
</t>
        </r>
        <r>
          <rPr>
            <sz val="8"/>
            <color indexed="81"/>
            <rFont val="Tahoma"/>
            <family val="2"/>
            <charset val="238"/>
          </rPr>
          <t>- Součty dospělých a dětí za jednotlivé státy a v rámci každého státu součty podle jednotlivých měsíců
- Ukotvěte příčky (7. řádek)
- Vytvořte konce stránek mezi skupinami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3" authorId="0" shapeId="0" xr:uid="{00000000-0006-0000-0300-000001000000}">
      <text>
        <r>
          <rPr>
            <b/>
            <sz val="8"/>
            <color indexed="81"/>
            <rFont val="Tahoma"/>
            <family val="2"/>
            <charset val="238"/>
          </rPr>
          <t>Vytvořte souhrny pro tržby a daň v jednotlivých měsících
-</t>
        </r>
        <r>
          <rPr>
            <sz val="8"/>
            <color indexed="81"/>
            <rFont val="Tahoma"/>
            <family val="2"/>
            <charset val="238"/>
          </rPr>
          <t xml:space="preserve"> V souhrnu zadejte průměr měsíčních tržeb a daní
- Ukotvěte příčky: záhlaví tabulky (6. řádek) a první sloupec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souhrny pro součty klientů podle dopravy v jednotlivých zemích
</t>
        </r>
        <r>
          <rPr>
            <sz val="8"/>
            <color indexed="81"/>
            <rFont val="Tahoma"/>
            <family val="2"/>
            <charset val="238"/>
          </rPr>
          <t>- Ukotvěte příčky (5. řádek)
- Vytvořte konce stránek mezi skupinami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Zjistěte z tabulky pomocí souhrnu průměrnou délku pobytů podle měsíců v jednotlivých zemích
</t>
        </r>
        <r>
          <rPr>
            <sz val="8"/>
            <color indexed="81"/>
            <rFont val="Tahoma"/>
            <family val="2"/>
            <charset val="238"/>
          </rPr>
          <t>- Ukotvěte příčky (5. řádek)
- Vytvořte konce stránek mezi skupinami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6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Zjistěte z tabulky pomocí souhrnu průměrné množství kusů a ceny podle měsíců a jednotlivých prodejců
</t>
        </r>
        <r>
          <rPr>
            <sz val="8"/>
            <color indexed="81"/>
            <rFont val="Tahoma"/>
            <family val="2"/>
            <charset val="238"/>
          </rPr>
          <t>- Ukotvěte příčky (6. řádek)
- Vytvořte konce stránek mezi skupinami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7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vlasní souhrn (libovolnou kombinaci) a napište do tohoto žlutého rámečku jeho zadání:
</t>
        </r>
        <r>
          <rPr>
            <sz val="8"/>
            <color indexed="81"/>
            <rFont val="Tahoma"/>
            <family val="2"/>
            <charset val="238"/>
          </rPr>
          <t>Pomocí souhrnu sečtěte cenu celkem za měsíce a potom průměr množství kusů za jednotlivé roky.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800-000001000000}">
      <text>
        <r>
          <rPr>
            <b/>
            <sz val="8"/>
            <color indexed="81"/>
            <rFont val="Tahoma"/>
            <family val="2"/>
            <charset val="238"/>
          </rPr>
          <t>Seskupte dle závodů (všechny závody) a ještě Mzdové náklady, Materiál a Režijní náklady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900-000001000000}">
      <text>
        <r>
          <rPr>
            <b/>
            <sz val="8"/>
            <color indexed="81"/>
            <rFont val="Tahoma"/>
            <family val="2"/>
            <charset val="238"/>
          </rPr>
          <t>- Seskupte Děti a Dospělé
- Ukotvěte záhlaví tabulky</t>
        </r>
      </text>
    </comment>
  </commentList>
</comments>
</file>

<file path=xl/sharedStrings.xml><?xml version="1.0" encoding="utf-8"?>
<sst xmlns="http://schemas.openxmlformats.org/spreadsheetml/2006/main" count="3050" uniqueCount="139">
  <si>
    <t>Itálie</t>
  </si>
  <si>
    <t>Francie</t>
  </si>
  <si>
    <t>Španělsko</t>
  </si>
  <si>
    <t>Chorvatsko</t>
  </si>
  <si>
    <t>Švýcarsko</t>
  </si>
  <si>
    <t>Rakousko</t>
  </si>
  <si>
    <t>červen</t>
  </si>
  <si>
    <t>červenec</t>
  </si>
  <si>
    <t>srpen</t>
  </si>
  <si>
    <t>září</t>
  </si>
  <si>
    <t>říjen</t>
  </si>
  <si>
    <t>letadlo</t>
  </si>
  <si>
    <t>bus</t>
  </si>
  <si>
    <t>vlastní doprava</t>
  </si>
  <si>
    <t>Délka pobytu</t>
  </si>
  <si>
    <t>Počet cestujících</t>
  </si>
  <si>
    <t>Země</t>
  </si>
  <si>
    <t>Měsíc</t>
  </si>
  <si>
    <t>Doprava</t>
  </si>
  <si>
    <t>Stát</t>
  </si>
  <si>
    <t>ÚKOL</t>
  </si>
  <si>
    <t>Dospělí</t>
  </si>
  <si>
    <t>Děti</t>
  </si>
  <si>
    <t>Závod</t>
  </si>
  <si>
    <t>Středisko</t>
  </si>
  <si>
    <t>Mzdové náklady</t>
  </si>
  <si>
    <t>Materiál</t>
  </si>
  <si>
    <t>Režijní náklady</t>
  </si>
  <si>
    <t>Praha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</si>
  <si>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</si>
  <si>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</si>
  <si>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</si>
  <si>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</si>
  <si>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</si>
  <si>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</si>
  <si>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</si>
  <si>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</si>
  <si>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</si>
  <si>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</si>
  <si>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</si>
  <si>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</si>
  <si>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Kolín</t>
  </si>
  <si>
    <t>Beroun</t>
  </si>
  <si>
    <t>Souhrny dat v seznamu</t>
  </si>
  <si>
    <t>Prodejce</t>
  </si>
  <si>
    <t>Druh</t>
  </si>
  <si>
    <t>Jednotky</t>
  </si>
  <si>
    <t>Tržby</t>
  </si>
  <si>
    <t>Daň</t>
  </si>
  <si>
    <t>leden</t>
  </si>
  <si>
    <t>Veselý</t>
  </si>
  <si>
    <t>zelenina</t>
  </si>
  <si>
    <t>Dvořák</t>
  </si>
  <si>
    <t>nápoje</t>
  </si>
  <si>
    <t>Malý</t>
  </si>
  <si>
    <t>ovoce</t>
  </si>
  <si>
    <t>Novák</t>
  </si>
  <si>
    <t>pivo</t>
  </si>
  <si>
    <t>mléko</t>
  </si>
  <si>
    <t>únor</t>
  </si>
  <si>
    <t>Kalabisová</t>
  </si>
  <si>
    <t>Kim Haitu</t>
  </si>
  <si>
    <t>maso</t>
  </si>
  <si>
    <t>Janečková</t>
  </si>
  <si>
    <t>březen</t>
  </si>
  <si>
    <t>duben</t>
  </si>
  <si>
    <t>Kowalewski</t>
  </si>
  <si>
    <t>květen</t>
  </si>
  <si>
    <t>Očenášek</t>
  </si>
  <si>
    <t>Rok</t>
  </si>
  <si>
    <t>Oblast</t>
  </si>
  <si>
    <t>Množství</t>
  </si>
  <si>
    <t>Cena celkem</t>
  </si>
  <si>
    <t>jih</t>
  </si>
  <si>
    <t>východ</t>
  </si>
  <si>
    <t>západ</t>
  </si>
  <si>
    <t>uzeniny</t>
  </si>
  <si>
    <t>sever</t>
  </si>
  <si>
    <t>Celkový součet</t>
  </si>
  <si>
    <t>01 Celkem</t>
  </si>
  <si>
    <t>02 Celkem</t>
  </si>
  <si>
    <t>03 Celkem</t>
  </si>
  <si>
    <t>04 Celkem</t>
  </si>
  <si>
    <t>05 Celkem</t>
  </si>
  <si>
    <t>06 Celkem</t>
  </si>
  <si>
    <t>07 Celkem</t>
  </si>
  <si>
    <t>08 Celkem</t>
  </si>
  <si>
    <t>09 Celkem</t>
  </si>
  <si>
    <t>10 Celkem</t>
  </si>
  <si>
    <t>11 Celkem</t>
  </si>
  <si>
    <t>12 Celkem</t>
  </si>
  <si>
    <t>Francie Celkem</t>
  </si>
  <si>
    <t>Chorvatsko Celkem</t>
  </si>
  <si>
    <t>Itálie Celkem</t>
  </si>
  <si>
    <t>Rakousko Celkem</t>
  </si>
  <si>
    <t>Španělsko Celkem</t>
  </si>
  <si>
    <t>Švýcarsko Celkem</t>
  </si>
  <si>
    <t>červen Celkem</t>
  </si>
  <si>
    <t>červenec Celkem</t>
  </si>
  <si>
    <t>říjen Celkem</t>
  </si>
  <si>
    <t>srpen Celkem</t>
  </si>
  <si>
    <t>září Celkem</t>
  </si>
  <si>
    <t>březen Průměr</t>
  </si>
  <si>
    <t>červen Průměr</t>
  </si>
  <si>
    <t>červenec Průměr</t>
  </si>
  <si>
    <t>duben Průměr</t>
  </si>
  <si>
    <t>leden Průměr</t>
  </si>
  <si>
    <t>únor Průměr</t>
  </si>
  <si>
    <t>Celkový průměr</t>
  </si>
  <si>
    <t>bus Celkem</t>
  </si>
  <si>
    <t>letadlo Celkem</t>
  </si>
  <si>
    <t>vlastní doprava Celkem</t>
  </si>
  <si>
    <t>říjen Průměr</t>
  </si>
  <si>
    <t>srpen Průměr</t>
  </si>
  <si>
    <t>září Průměr</t>
  </si>
  <si>
    <t>Dvořák Průměr</t>
  </si>
  <si>
    <t>Malý Průměr</t>
  </si>
  <si>
    <t>Novák Průměr</t>
  </si>
  <si>
    <t>Veselý Průměr</t>
  </si>
  <si>
    <t>březen Celkem</t>
  </si>
  <si>
    <t>duben Celkem</t>
  </si>
  <si>
    <t>leden Celkem</t>
  </si>
  <si>
    <t>únor Celkem</t>
  </si>
  <si>
    <t>1980 Průměr</t>
  </si>
  <si>
    <t>1981 Průměr</t>
  </si>
  <si>
    <t>1982 Průměr</t>
  </si>
  <si>
    <t>1983 Průměr</t>
  </si>
  <si>
    <t>1984 Průměr</t>
  </si>
  <si>
    <t>1985 Průměr</t>
  </si>
  <si>
    <t>1986 Průměr</t>
  </si>
  <si>
    <t>1987 Průměr</t>
  </si>
  <si>
    <t>1988 Průměr</t>
  </si>
  <si>
    <t>1989 Průměr</t>
  </si>
  <si>
    <t>1990 Průměr</t>
  </si>
  <si>
    <t>1991 Průměr</t>
  </si>
  <si>
    <t>1992 Průměr</t>
  </si>
  <si>
    <t>1993 Průměr</t>
  </si>
  <si>
    <t>1994 Průměr</t>
  </si>
  <si>
    <t>1995 Průměr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</si>
</sst>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Kč&quot;_-;\-* #,##0.00\ &quot;Kč&quot;_-;_-* &quot;-&quot;??\ &quot;Kč&quot;_-;_-@_-"/>
    <numFmt numFmtId="164" formatCode="#,##0_ &quot;ks&quot;"/>
    <numFmt numFmtId="165" formatCode="_-* #,##0\ &quot;Kč&quot;_-;\-* #,##0\ &quot;Kč&quot;_-;_-* &quot;-&quot;??\ &quot;Kč&quot;_-;_-@_-"/>
  </numFmts>
  <fonts count="17" x14ac:knownFonts="1">
    <font>
      <sz val="10"/>
      <name val="Arial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4"/>
      <name val="Arial"/>
      <family val="2"/>
      <charset val="238"/>
    </font>
    <font>
      <b/>
      <sz val="14"/>
      <color indexed="9"/>
      <name val="Arial"/>
      <family val="2"/>
      <charset val="238"/>
    </font>
    <font>
      <sz val="14"/>
      <color indexed="8"/>
      <name val="Verdana"/>
      <family val="2"/>
      <charset val="238"/>
    </font>
    <font>
      <b/>
      <sz val="12"/>
      <color indexed="9"/>
      <name val="Arial"/>
      <family val="2"/>
      <charset val="238"/>
    </font>
    <font>
      <sz val="14"/>
      <color indexed="8"/>
      <name val="Arial"/>
      <family val="2"/>
      <charset val="238"/>
    </font>
    <font>
      <b/>
      <sz val="14"/>
      <color indexed="9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0"/>
      <name val="Arial CE"/>
      <charset val="238"/>
    </font>
    <font>
      <sz val="14"/>
      <color indexed="10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b/>
      <sz val="10"/>
      <name val="Arial"/>
      <family val="2"/>
      <charset val="238"/>
    </font>
    <font>
      <b/>
      <sz val="10"/>
      <name val="Arial"/>
      <charset val="238"/>
    </font>
    <font>
      <sz val="11"/>
      <color rgb="FF00610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5A5A5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7">
    <xf numFmtId="0" fontId="0" fillId="0" borderId="0"/>
    <xf numFmtId="0" fontId="13" fillId="5" borderId="1" applyNumberFormat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  <xf numFmtId="0" fontId="2" fillId="0" borderId="0"/>
    <xf numFmtId="0" fontId="16" fillId="6" borderId="0" applyNumberFormat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/>
    </xf>
    <xf numFmtId="49" fontId="2" fillId="0" borderId="0" xfId="0" applyNumberFormat="1" applyFont="1"/>
    <xf numFmtId="0" fontId="8" fillId="2" borderId="0" xfId="0" applyFont="1" applyFill="1"/>
    <xf numFmtId="49" fontId="8" fillId="2" borderId="0" xfId="0" applyNumberFormat="1" applyFont="1" applyFill="1"/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0" xfId="4" applyFont="1" applyAlignment="1">
      <alignment vertical="center"/>
    </xf>
    <xf numFmtId="0" fontId="11" fillId="0" borderId="0" xfId="4"/>
    <xf numFmtId="0" fontId="4" fillId="3" borderId="0" xfId="4" applyFont="1" applyFill="1" applyAlignment="1">
      <alignment horizontal="center" vertical="center"/>
    </xf>
    <xf numFmtId="1" fontId="11" fillId="0" borderId="0" xfId="4" applyNumberFormat="1"/>
    <xf numFmtId="14" fontId="11" fillId="0" borderId="0" xfId="4" applyNumberFormat="1"/>
    <xf numFmtId="20" fontId="11" fillId="0" borderId="0" xfId="4" applyNumberFormat="1"/>
    <xf numFmtId="0" fontId="13" fillId="5" borderId="1" xfId="1"/>
    <xf numFmtId="0" fontId="3" fillId="0" borderId="0" xfId="5" applyFont="1"/>
    <xf numFmtId="0" fontId="2" fillId="0" borderId="0" xfId="5"/>
    <xf numFmtId="0" fontId="7" fillId="0" borderId="0" xfId="5" applyFont="1"/>
    <xf numFmtId="0" fontId="8" fillId="2" borderId="0" xfId="5" applyFont="1" applyFill="1"/>
    <xf numFmtId="49" fontId="8" fillId="2" borderId="0" xfId="5" applyNumberFormat="1" applyFont="1" applyFill="1"/>
    <xf numFmtId="49" fontId="2" fillId="0" borderId="0" xfId="5" applyNumberFormat="1"/>
    <xf numFmtId="0" fontId="6" fillId="2" borderId="0" xfId="5" applyFont="1" applyFill="1" applyAlignment="1">
      <alignment horizontal="center" vertical="center"/>
    </xf>
    <xf numFmtId="0" fontId="2" fillId="0" borderId="0" xfId="5" applyAlignment="1">
      <alignment vertical="center"/>
    </xf>
    <xf numFmtId="0" fontId="5" fillId="0" borderId="0" xfId="5" applyFont="1"/>
    <xf numFmtId="0" fontId="6" fillId="2" borderId="0" xfId="5" applyFont="1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3" applyNumberFormat="1" applyFont="1" applyAlignment="1">
      <alignment horizontal="center"/>
    </xf>
    <xf numFmtId="0" fontId="13" fillId="5" borderId="1" xfId="1" applyAlignment="1">
      <alignment horizontal="center"/>
    </xf>
    <xf numFmtId="49" fontId="14" fillId="0" borderId="0" xfId="0" applyNumberFormat="1" applyFont="1"/>
    <xf numFmtId="0" fontId="14" fillId="0" borderId="0" xfId="0" applyFont="1"/>
    <xf numFmtId="0" fontId="15" fillId="0" borderId="0" xfId="0" applyFont="1"/>
    <xf numFmtId="0" fontId="14" fillId="0" borderId="0" xfId="5" applyFont="1"/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6" fillId="6" borderId="0" xfId="6"/>
    <xf numFmtId="44" fontId="16" fillId="6" borderId="0" xfId="6" applyNumberFormat="1"/>
    <xf numFmtId="1" fontId="16" fillId="6" borderId="0" xfId="6" applyNumberFormat="1"/>
  </cellXfs>
  <cellStyles count="7">
    <cellStyle name="Kontrolní buňka" xfId="1" builtinId="23"/>
    <cellStyle name="Měna" xfId="3" builtinId="4"/>
    <cellStyle name="Měna 2" xfId="2" xr:uid="{00000000-0005-0000-0000-000001000000}"/>
    <cellStyle name="Normální" xfId="0" builtinId="0"/>
    <cellStyle name="Normální 2" xfId="4" xr:uid="{00000000-0005-0000-0000-000004000000}"/>
    <cellStyle name="Normální 3" xfId="5" xr:uid="{00000000-0005-0000-0000-000005000000}"/>
    <cellStyle name="Správně" xfId="6" builtinId="2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D13" sqref="D13:D14"/>
    </sheetView>
  </sheetViews>
  <sheetFormatPr defaultRowHeight="12.75" outlineLevelRow="2" x14ac:dyDescent="0.2"/>
  <cols>
    <col min="2" max="2" width="22.28515625" customWidth="1"/>
    <col min="3" max="3" width="10.7109375" customWidth="1"/>
    <col min="4" max="4" width="32.7109375" customWidth="1"/>
    <col min="5" max="5" width="24.5703125" customWidth="1"/>
    <col min="6" max="6" width="25.7109375" customWidth="1"/>
  </cols>
  <sheetData>
    <row r="1" spans="1:6" ht="18" x14ac:dyDescent="0.2">
      <c r="A1" s="11" t="s">
        <v>20</v>
      </c>
    </row>
    <row r="2" spans="1:6" ht="18" x14ac:dyDescent="0.2">
      <c r="A2" s="12"/>
    </row>
    <row r="3" spans="1:6" ht="18" x14ac:dyDescent="0.2">
      <c r="A3" s="13"/>
    </row>
    <row r="4" spans="1:6" ht="18" x14ac:dyDescent="0.25">
      <c r="A4" s="5"/>
    </row>
    <row r="6" spans="1:6" ht="18" x14ac:dyDescent="0.25">
      <c r="A6" s="9" t="s">
        <v>23</v>
      </c>
      <c r="B6" s="9" t="s">
        <v>24</v>
      </c>
      <c r="C6" s="10" t="s">
        <v>17</v>
      </c>
      <c r="D6" s="9" t="s">
        <v>25</v>
      </c>
      <c r="E6" s="9" t="s">
        <v>26</v>
      </c>
      <c r="F6" s="9" t="s">
        <v>27</v>
      </c>
    </row>
    <row r="7" spans="1:6" outlineLevel="2" x14ac:dyDescent="0.2">
      <c r="A7" s="1" t="s">
        <v>28</v>
      </c>
      <c r="B7">
        <v>1</v>
      </c>
      <c r="C7" s="8" t="s">
        <v>29</v>
      </c>
      <c r="D7">
        <v>1594</v>
      </c>
      <c r="E7">
        <v>80988</v>
      </c>
      <c r="F7">
        <v>116867</v>
      </c>
    </row>
    <row r="8" spans="1:6" outlineLevel="2" x14ac:dyDescent="0.2">
      <c r="A8" s="1" t="s">
        <v>28</v>
      </c>
      <c r="B8">
        <v>2</v>
      </c>
      <c r="C8" s="8" t="s">
        <v>29</v>
      </c>
      <c r="D8">
        <v>1338</v>
      </c>
      <c r="E8">
        <v>67226</v>
      </c>
      <c r="F8">
        <v>61659</v>
      </c>
    </row>
    <row r="9" spans="1:6" outlineLevel="2" x14ac:dyDescent="0.2">
      <c r="A9" s="1" t="s">
        <v>28</v>
      </c>
      <c r="B9">
        <v>3</v>
      </c>
      <c r="C9" s="8" t="s">
        <v>29</v>
      </c>
      <c r="D9">
        <v>1997</v>
      </c>
      <c r="E9">
        <v>73655</v>
      </c>
      <c r="F9">
        <v>70864</v>
      </c>
    </row>
    <row r="10" spans="1:6" outlineLevel="2" x14ac:dyDescent="0.2">
      <c r="A10" s="1" t="s">
        <v>41</v>
      </c>
      <c r="B10">
        <v>4</v>
      </c>
      <c r="C10" s="8" t="s">
        <v>29</v>
      </c>
      <c r="D10">
        <v>1768</v>
      </c>
      <c r="E10">
        <v>53649</v>
      </c>
      <c r="F10">
        <v>113846</v>
      </c>
    </row>
    <row r="11" spans="1:6" outlineLevel="2" x14ac:dyDescent="0.2">
      <c r="A11" s="1" t="s">
        <v>41</v>
      </c>
      <c r="B11">
        <v>5</v>
      </c>
      <c r="C11" s="8" t="s">
        <v>29</v>
      </c>
      <c r="D11">
        <v>1343</v>
      </c>
      <c r="E11">
        <v>55198</v>
      </c>
      <c r="F11">
        <v>81086</v>
      </c>
    </row>
    <row r="12" spans="1:6" outlineLevel="2" x14ac:dyDescent="0.2">
      <c r="A12" s="1" t="s">
        <v>42</v>
      </c>
      <c r="B12">
        <v>6</v>
      </c>
      <c r="C12" s="8" t="s">
        <v>29</v>
      </c>
      <c r="D12">
        <v>1248</v>
      </c>
      <c r="E12">
        <v>83498</v>
      </c>
      <c r="F12">
        <v>80521</v>
      </c>
    </row>
    <row r="13" spans="1:6" outlineLevel="2" x14ac:dyDescent="0.2">
      <c r="A13" s="1" t="s">
        <v>42</v>
      </c>
      <c r="B13">
        <v>7</v>
      </c>
      <c r="C13" s="8" t="s">
        <v>29</v>
      </c>
      <c r="D13">
        <v>1324</v>
      </c>
      <c r="E13">
        <v>73809</v>
      </c>
      <c r="F13">
        <v>71344</v>
      </c>
    </row>
    <row r="14" spans="1:6" outlineLevel="1" x14ac:dyDescent="0.2">
      <c r="A14" s="1"/>
      <c r="C14" s="36" t="s">
        <v>79</v>
      </c>
      <c r="D14">
        <f>SUBTOTAL(9,D7:D13)</f>
        <v>10612</v>
      </c>
      <c r="E14">
        <f>SUBTOTAL(9,E7:E13)</f>
        <v>488023</v>
      </c>
      <c r="F14">
        <f>SUBTOTAL(9,F7:F13)</f>
        <v>596187</v>
      </c>
    </row>
    <row r="15" spans="1:6" outlineLevel="2" x14ac:dyDescent="0.2">
      <c r="A15" s="1" t="s">
        <v>28</v>
      </c>
      <c r="B15">
        <v>1</v>
      </c>
      <c r="C15" s="8" t="s">
        <v>30</v>
      </c>
      <c r="D15">
        <v>1897</v>
      </c>
      <c r="E15">
        <v>77677</v>
      </c>
      <c r="F15">
        <v>69871</v>
      </c>
    </row>
    <row r="16" spans="1:6" outlineLevel="2" x14ac:dyDescent="0.2">
      <c r="A16" s="1" t="s">
        <v>28</v>
      </c>
      <c r="B16">
        <v>2</v>
      </c>
      <c r="C16" s="8" t="s">
        <v>30</v>
      </c>
      <c r="D16">
        <v>1312</v>
      </c>
      <c r="E16">
        <v>70043</v>
      </c>
      <c r="F16">
        <v>69966</v>
      </c>
    </row>
    <row r="17" spans="1:6" outlineLevel="2" x14ac:dyDescent="0.2">
      <c r="A17" s="1" t="s">
        <v>28</v>
      </c>
      <c r="B17">
        <v>3</v>
      </c>
      <c r="C17" s="8" t="s">
        <v>30</v>
      </c>
      <c r="D17">
        <v>1643</v>
      </c>
      <c r="E17">
        <v>111994</v>
      </c>
      <c r="F17">
        <v>66070</v>
      </c>
    </row>
    <row r="18" spans="1:6" outlineLevel="2" x14ac:dyDescent="0.2">
      <c r="A18" s="1" t="s">
        <v>41</v>
      </c>
      <c r="B18">
        <v>4</v>
      </c>
      <c r="C18" s="8" t="s">
        <v>30</v>
      </c>
      <c r="D18">
        <v>1373</v>
      </c>
      <c r="E18">
        <v>78412</v>
      </c>
      <c r="F18">
        <v>72075</v>
      </c>
    </row>
    <row r="19" spans="1:6" outlineLevel="2" x14ac:dyDescent="0.2">
      <c r="A19" s="1" t="s">
        <v>41</v>
      </c>
      <c r="B19">
        <v>5</v>
      </c>
      <c r="C19" s="8" t="s">
        <v>30</v>
      </c>
      <c r="D19">
        <v>1378</v>
      </c>
      <c r="E19">
        <v>52412</v>
      </c>
      <c r="F19">
        <v>109609</v>
      </c>
    </row>
    <row r="20" spans="1:6" outlineLevel="2" x14ac:dyDescent="0.2">
      <c r="A20" s="1" t="s">
        <v>42</v>
      </c>
      <c r="B20">
        <v>6</v>
      </c>
      <c r="C20" s="8" t="s">
        <v>30</v>
      </c>
      <c r="D20">
        <v>1618</v>
      </c>
      <c r="E20">
        <v>108673</v>
      </c>
      <c r="F20">
        <v>105890</v>
      </c>
    </row>
    <row r="21" spans="1:6" outlineLevel="2" x14ac:dyDescent="0.2">
      <c r="A21" s="1" t="s">
        <v>42</v>
      </c>
      <c r="B21">
        <v>7</v>
      </c>
      <c r="C21" s="8" t="s">
        <v>30</v>
      </c>
      <c r="D21">
        <v>1448</v>
      </c>
      <c r="E21">
        <v>70371</v>
      </c>
      <c r="F21">
        <v>60340</v>
      </c>
    </row>
    <row r="22" spans="1:6" outlineLevel="1" x14ac:dyDescent="0.2">
      <c r="A22" s="1"/>
      <c r="C22" s="35" t="s">
        <v>80</v>
      </c>
      <c r="D22">
        <f>SUBTOTAL(9,D15:D21)</f>
        <v>10669</v>
      </c>
      <c r="E22">
        <f>SUBTOTAL(9,E15:E21)</f>
        <v>569582</v>
      </c>
      <c r="F22">
        <f>SUBTOTAL(9,F15:F21)</f>
        <v>553821</v>
      </c>
    </row>
    <row r="23" spans="1:6" outlineLevel="2" x14ac:dyDescent="0.2">
      <c r="A23" s="1" t="s">
        <v>28</v>
      </c>
      <c r="B23">
        <v>1</v>
      </c>
      <c r="C23" s="8" t="s">
        <v>31</v>
      </c>
      <c r="D23">
        <v>1786</v>
      </c>
      <c r="E23">
        <v>90928</v>
      </c>
      <c r="F23">
        <v>87960</v>
      </c>
    </row>
    <row r="24" spans="1:6" outlineLevel="2" x14ac:dyDescent="0.2">
      <c r="A24" s="1" t="s">
        <v>28</v>
      </c>
      <c r="B24">
        <v>2</v>
      </c>
      <c r="C24" s="8" t="s">
        <v>31</v>
      </c>
      <c r="D24">
        <v>1147</v>
      </c>
      <c r="E24">
        <v>55042</v>
      </c>
      <c r="F24">
        <v>63137</v>
      </c>
    </row>
    <row r="25" spans="1:6" outlineLevel="2" x14ac:dyDescent="0.2">
      <c r="A25" s="1" t="s">
        <v>28</v>
      </c>
      <c r="B25">
        <v>3</v>
      </c>
      <c r="C25" s="8" t="s">
        <v>31</v>
      </c>
      <c r="D25">
        <v>1970</v>
      </c>
      <c r="E25">
        <v>100139</v>
      </c>
      <c r="F25">
        <v>118207</v>
      </c>
    </row>
    <row r="26" spans="1:6" outlineLevel="2" x14ac:dyDescent="0.2">
      <c r="A26" s="1" t="s">
        <v>41</v>
      </c>
      <c r="B26">
        <v>4</v>
      </c>
      <c r="C26" s="8" t="s">
        <v>31</v>
      </c>
      <c r="D26">
        <v>1862</v>
      </c>
      <c r="E26">
        <v>73981</v>
      </c>
      <c r="F26">
        <v>109810</v>
      </c>
    </row>
    <row r="27" spans="1:6" outlineLevel="2" x14ac:dyDescent="0.2">
      <c r="A27" s="1" t="s">
        <v>41</v>
      </c>
      <c r="B27">
        <v>5</v>
      </c>
      <c r="C27" s="8" t="s">
        <v>31</v>
      </c>
      <c r="D27">
        <v>1185</v>
      </c>
      <c r="E27">
        <v>87814</v>
      </c>
      <c r="F27">
        <v>65384</v>
      </c>
    </row>
    <row r="28" spans="1:6" outlineLevel="2" x14ac:dyDescent="0.2">
      <c r="A28" s="1" t="s">
        <v>42</v>
      </c>
      <c r="B28">
        <v>6</v>
      </c>
      <c r="C28" s="8" t="s">
        <v>31</v>
      </c>
      <c r="D28">
        <v>1398</v>
      </c>
      <c r="E28">
        <v>60166</v>
      </c>
      <c r="F28">
        <v>87484</v>
      </c>
    </row>
    <row r="29" spans="1:6" outlineLevel="2" x14ac:dyDescent="0.2">
      <c r="A29" s="1" t="s">
        <v>42</v>
      </c>
      <c r="B29">
        <v>7</v>
      </c>
      <c r="C29" s="8" t="s">
        <v>31</v>
      </c>
      <c r="D29">
        <v>1046</v>
      </c>
      <c r="E29">
        <v>79759</v>
      </c>
      <c r="F29">
        <v>118836</v>
      </c>
    </row>
    <row r="30" spans="1:6" outlineLevel="1" x14ac:dyDescent="0.2">
      <c r="A30" s="1"/>
      <c r="C30" s="35" t="s">
        <v>81</v>
      </c>
      <c r="D30">
        <f>SUBTOTAL(9,D23:D29)</f>
        <v>10394</v>
      </c>
      <c r="E30">
        <f>SUBTOTAL(9,E23:E29)</f>
        <v>547829</v>
      </c>
      <c r="F30">
        <f>SUBTOTAL(9,F23:F29)</f>
        <v>650818</v>
      </c>
    </row>
    <row r="31" spans="1:6" outlineLevel="2" x14ac:dyDescent="0.2">
      <c r="A31" s="1" t="s">
        <v>28</v>
      </c>
      <c r="B31">
        <v>1</v>
      </c>
      <c r="C31" s="8" t="s">
        <v>32</v>
      </c>
      <c r="D31">
        <v>1727</v>
      </c>
      <c r="E31">
        <v>107013</v>
      </c>
      <c r="F31">
        <v>63027</v>
      </c>
    </row>
    <row r="32" spans="1:6" outlineLevel="2" x14ac:dyDescent="0.2">
      <c r="A32" s="1" t="s">
        <v>28</v>
      </c>
      <c r="B32">
        <v>2</v>
      </c>
      <c r="C32" s="8" t="s">
        <v>32</v>
      </c>
      <c r="D32">
        <v>1939</v>
      </c>
      <c r="E32">
        <v>73855</v>
      </c>
      <c r="F32">
        <v>115950</v>
      </c>
    </row>
    <row r="33" spans="1:6" outlineLevel="2" x14ac:dyDescent="0.2">
      <c r="A33" s="1" t="s">
        <v>28</v>
      </c>
      <c r="B33">
        <v>3</v>
      </c>
      <c r="C33" s="8" t="s">
        <v>32</v>
      </c>
      <c r="D33">
        <v>1601</v>
      </c>
      <c r="E33">
        <v>93742</v>
      </c>
      <c r="F33">
        <v>112419</v>
      </c>
    </row>
    <row r="34" spans="1:6" outlineLevel="2" x14ac:dyDescent="0.2">
      <c r="A34" s="1" t="s">
        <v>41</v>
      </c>
      <c r="B34">
        <v>4</v>
      </c>
      <c r="C34" s="8" t="s">
        <v>32</v>
      </c>
      <c r="D34">
        <v>1568</v>
      </c>
      <c r="E34">
        <v>118068</v>
      </c>
      <c r="F34">
        <v>68069</v>
      </c>
    </row>
    <row r="35" spans="1:6" outlineLevel="2" x14ac:dyDescent="0.2">
      <c r="A35" s="1" t="s">
        <v>41</v>
      </c>
      <c r="B35">
        <v>5</v>
      </c>
      <c r="C35" s="8" t="s">
        <v>32</v>
      </c>
      <c r="D35">
        <v>1405</v>
      </c>
      <c r="E35">
        <v>50996</v>
      </c>
      <c r="F35">
        <v>71333</v>
      </c>
    </row>
    <row r="36" spans="1:6" outlineLevel="2" x14ac:dyDescent="0.2">
      <c r="A36" s="1" t="s">
        <v>42</v>
      </c>
      <c r="B36">
        <v>6</v>
      </c>
      <c r="C36" s="8" t="s">
        <v>32</v>
      </c>
      <c r="D36">
        <v>1150</v>
      </c>
      <c r="E36">
        <v>106121</v>
      </c>
      <c r="F36">
        <v>65247</v>
      </c>
    </row>
    <row r="37" spans="1:6" outlineLevel="2" x14ac:dyDescent="0.2">
      <c r="A37" s="1" t="s">
        <v>42</v>
      </c>
      <c r="B37">
        <v>7</v>
      </c>
      <c r="C37" s="8" t="s">
        <v>32</v>
      </c>
      <c r="D37">
        <v>1450</v>
      </c>
      <c r="E37">
        <v>53484</v>
      </c>
      <c r="F37">
        <v>83156</v>
      </c>
    </row>
    <row r="38" spans="1:6" outlineLevel="1" x14ac:dyDescent="0.2">
      <c r="A38" s="1"/>
      <c r="C38" s="35" t="s">
        <v>82</v>
      </c>
      <c r="D38">
        <f>SUBTOTAL(9,D31:D37)</f>
        <v>10840</v>
      </c>
      <c r="E38">
        <f>SUBTOTAL(9,E31:E37)</f>
        <v>603279</v>
      </c>
      <c r="F38">
        <f>SUBTOTAL(9,F31:F37)</f>
        <v>579201</v>
      </c>
    </row>
    <row r="39" spans="1:6" outlineLevel="2" x14ac:dyDescent="0.2">
      <c r="A39" s="1" t="s">
        <v>28</v>
      </c>
      <c r="B39">
        <v>1</v>
      </c>
      <c r="C39" s="8" t="s">
        <v>33</v>
      </c>
      <c r="D39">
        <v>1490</v>
      </c>
      <c r="E39">
        <v>62789</v>
      </c>
      <c r="F39">
        <v>104537</v>
      </c>
    </row>
    <row r="40" spans="1:6" outlineLevel="2" x14ac:dyDescent="0.2">
      <c r="A40" s="1" t="s">
        <v>28</v>
      </c>
      <c r="B40">
        <v>2</v>
      </c>
      <c r="C40" s="8" t="s">
        <v>33</v>
      </c>
      <c r="D40">
        <v>1401</v>
      </c>
      <c r="E40">
        <v>108057</v>
      </c>
      <c r="F40">
        <v>112173</v>
      </c>
    </row>
    <row r="41" spans="1:6" outlineLevel="2" x14ac:dyDescent="0.2">
      <c r="A41" s="1" t="s">
        <v>28</v>
      </c>
      <c r="B41">
        <v>3</v>
      </c>
      <c r="C41" s="8" t="s">
        <v>33</v>
      </c>
      <c r="D41">
        <v>1066</v>
      </c>
      <c r="E41">
        <v>91233</v>
      </c>
      <c r="F41">
        <v>116589</v>
      </c>
    </row>
    <row r="42" spans="1:6" outlineLevel="2" x14ac:dyDescent="0.2">
      <c r="A42" s="1" t="s">
        <v>41</v>
      </c>
      <c r="B42">
        <v>4</v>
      </c>
      <c r="C42" s="8" t="s">
        <v>33</v>
      </c>
      <c r="D42">
        <v>1021</v>
      </c>
      <c r="E42">
        <v>105555</v>
      </c>
      <c r="F42">
        <v>89645</v>
      </c>
    </row>
    <row r="43" spans="1:6" outlineLevel="2" x14ac:dyDescent="0.2">
      <c r="A43" s="1" t="s">
        <v>41</v>
      </c>
      <c r="B43">
        <v>5</v>
      </c>
      <c r="C43" s="8" t="s">
        <v>33</v>
      </c>
      <c r="D43">
        <v>1421</v>
      </c>
      <c r="E43">
        <v>110467</v>
      </c>
      <c r="F43">
        <v>111096</v>
      </c>
    </row>
    <row r="44" spans="1:6" outlineLevel="2" x14ac:dyDescent="0.2">
      <c r="A44" s="1" t="s">
        <v>42</v>
      </c>
      <c r="B44">
        <v>6</v>
      </c>
      <c r="C44" s="8" t="s">
        <v>33</v>
      </c>
      <c r="D44">
        <v>1575</v>
      </c>
      <c r="E44">
        <v>53434</v>
      </c>
      <c r="F44">
        <v>111230</v>
      </c>
    </row>
    <row r="45" spans="1:6" outlineLevel="2" x14ac:dyDescent="0.2">
      <c r="A45" s="1" t="s">
        <v>42</v>
      </c>
      <c r="B45">
        <v>7</v>
      </c>
      <c r="C45" s="8" t="s">
        <v>33</v>
      </c>
      <c r="D45">
        <v>1646</v>
      </c>
      <c r="E45">
        <v>69733</v>
      </c>
      <c r="F45">
        <v>62561</v>
      </c>
    </row>
    <row r="46" spans="1:6" outlineLevel="1" x14ac:dyDescent="0.2">
      <c r="A46" s="1"/>
      <c r="C46" s="35" t="s">
        <v>83</v>
      </c>
      <c r="D46">
        <f>SUBTOTAL(9,D39:D45)</f>
        <v>9620</v>
      </c>
      <c r="E46">
        <f>SUBTOTAL(9,E39:E45)</f>
        <v>601268</v>
      </c>
      <c r="F46">
        <f>SUBTOTAL(9,F39:F45)</f>
        <v>707831</v>
      </c>
    </row>
    <row r="47" spans="1:6" outlineLevel="2" x14ac:dyDescent="0.2">
      <c r="A47" s="1" t="s">
        <v>28</v>
      </c>
      <c r="B47">
        <v>1</v>
      </c>
      <c r="C47" s="8" t="s">
        <v>34</v>
      </c>
      <c r="D47">
        <v>1354</v>
      </c>
      <c r="E47">
        <v>116534</v>
      </c>
      <c r="F47">
        <v>51113</v>
      </c>
    </row>
    <row r="48" spans="1:6" outlineLevel="2" x14ac:dyDescent="0.2">
      <c r="A48" s="1" t="s">
        <v>28</v>
      </c>
      <c r="B48">
        <v>2</v>
      </c>
      <c r="C48" s="8" t="s">
        <v>34</v>
      </c>
      <c r="D48">
        <v>1142</v>
      </c>
      <c r="E48">
        <v>68363</v>
      </c>
      <c r="F48">
        <v>62414</v>
      </c>
    </row>
    <row r="49" spans="1:6" outlineLevel="2" x14ac:dyDescent="0.2">
      <c r="A49" s="1" t="s">
        <v>28</v>
      </c>
      <c r="B49">
        <v>3</v>
      </c>
      <c r="C49" s="8" t="s">
        <v>34</v>
      </c>
      <c r="D49">
        <v>1352</v>
      </c>
      <c r="E49">
        <v>101541</v>
      </c>
      <c r="F49">
        <v>57247</v>
      </c>
    </row>
    <row r="50" spans="1:6" outlineLevel="2" x14ac:dyDescent="0.2">
      <c r="A50" s="1" t="s">
        <v>41</v>
      </c>
      <c r="B50">
        <v>4</v>
      </c>
      <c r="C50" s="8" t="s">
        <v>34</v>
      </c>
      <c r="D50">
        <v>1569</v>
      </c>
      <c r="E50">
        <v>61370</v>
      </c>
      <c r="F50">
        <v>54113</v>
      </c>
    </row>
    <row r="51" spans="1:6" outlineLevel="2" x14ac:dyDescent="0.2">
      <c r="A51" s="1" t="s">
        <v>41</v>
      </c>
      <c r="B51">
        <v>5</v>
      </c>
      <c r="C51" s="8" t="s">
        <v>34</v>
      </c>
      <c r="D51">
        <v>1433</v>
      </c>
      <c r="E51">
        <v>59665</v>
      </c>
      <c r="F51">
        <v>76638</v>
      </c>
    </row>
    <row r="52" spans="1:6" outlineLevel="2" x14ac:dyDescent="0.2">
      <c r="A52" s="1" t="s">
        <v>42</v>
      </c>
      <c r="B52">
        <v>6</v>
      </c>
      <c r="C52" s="8" t="s">
        <v>34</v>
      </c>
      <c r="D52">
        <v>1579</v>
      </c>
      <c r="E52">
        <v>78420</v>
      </c>
      <c r="F52">
        <v>94071</v>
      </c>
    </row>
    <row r="53" spans="1:6" outlineLevel="2" x14ac:dyDescent="0.2">
      <c r="A53" s="1" t="s">
        <v>42</v>
      </c>
      <c r="B53">
        <v>7</v>
      </c>
      <c r="C53" s="8" t="s">
        <v>34</v>
      </c>
      <c r="D53">
        <v>1339</v>
      </c>
      <c r="E53">
        <v>112383</v>
      </c>
      <c r="F53">
        <v>92289</v>
      </c>
    </row>
    <row r="54" spans="1:6" outlineLevel="1" x14ac:dyDescent="0.2">
      <c r="A54" s="1"/>
      <c r="C54" s="35" t="s">
        <v>84</v>
      </c>
      <c r="D54">
        <f>SUBTOTAL(9,D47:D53)</f>
        <v>9768</v>
      </c>
      <c r="E54">
        <f>SUBTOTAL(9,E47:E53)</f>
        <v>598276</v>
      </c>
      <c r="F54">
        <f>SUBTOTAL(9,F47:F53)</f>
        <v>487885</v>
      </c>
    </row>
    <row r="55" spans="1:6" outlineLevel="2" x14ac:dyDescent="0.2">
      <c r="A55" s="1" t="s">
        <v>28</v>
      </c>
      <c r="B55">
        <v>1</v>
      </c>
      <c r="C55" s="8" t="s">
        <v>35</v>
      </c>
      <c r="D55">
        <v>1221</v>
      </c>
      <c r="E55">
        <v>96052</v>
      </c>
      <c r="F55">
        <v>79338</v>
      </c>
    </row>
    <row r="56" spans="1:6" outlineLevel="2" x14ac:dyDescent="0.2">
      <c r="A56" s="1" t="s">
        <v>28</v>
      </c>
      <c r="B56">
        <v>2</v>
      </c>
      <c r="C56" s="8" t="s">
        <v>35</v>
      </c>
      <c r="D56">
        <v>1740</v>
      </c>
      <c r="E56">
        <v>98139</v>
      </c>
      <c r="F56">
        <v>108824</v>
      </c>
    </row>
    <row r="57" spans="1:6" outlineLevel="2" x14ac:dyDescent="0.2">
      <c r="A57" s="1" t="s">
        <v>28</v>
      </c>
      <c r="B57">
        <v>3</v>
      </c>
      <c r="C57" s="8" t="s">
        <v>35</v>
      </c>
      <c r="D57">
        <v>1042</v>
      </c>
      <c r="E57">
        <v>84098</v>
      </c>
      <c r="F57">
        <v>92299</v>
      </c>
    </row>
    <row r="58" spans="1:6" outlineLevel="2" x14ac:dyDescent="0.2">
      <c r="A58" s="1" t="s">
        <v>41</v>
      </c>
      <c r="B58">
        <v>4</v>
      </c>
      <c r="C58" s="8" t="s">
        <v>35</v>
      </c>
      <c r="D58">
        <v>1827</v>
      </c>
      <c r="E58">
        <v>80461</v>
      </c>
      <c r="F58">
        <v>56002</v>
      </c>
    </row>
    <row r="59" spans="1:6" outlineLevel="2" x14ac:dyDescent="0.2">
      <c r="A59" s="1" t="s">
        <v>41</v>
      </c>
      <c r="B59">
        <v>5</v>
      </c>
      <c r="C59" s="8" t="s">
        <v>35</v>
      </c>
      <c r="D59">
        <v>1581</v>
      </c>
      <c r="E59">
        <v>51425</v>
      </c>
      <c r="F59">
        <v>119529</v>
      </c>
    </row>
    <row r="60" spans="1:6" outlineLevel="2" x14ac:dyDescent="0.2">
      <c r="A60" s="1" t="s">
        <v>42</v>
      </c>
      <c r="B60">
        <v>6</v>
      </c>
      <c r="C60" s="8" t="s">
        <v>35</v>
      </c>
      <c r="D60">
        <v>1251</v>
      </c>
      <c r="E60">
        <v>93541</v>
      </c>
      <c r="F60">
        <v>99979</v>
      </c>
    </row>
    <row r="61" spans="1:6" outlineLevel="2" x14ac:dyDescent="0.2">
      <c r="A61" s="1" t="s">
        <v>42</v>
      </c>
      <c r="B61">
        <v>7</v>
      </c>
      <c r="C61" s="8" t="s">
        <v>35</v>
      </c>
      <c r="D61">
        <v>1941</v>
      </c>
      <c r="E61">
        <v>115222</v>
      </c>
      <c r="F61">
        <v>104261</v>
      </c>
    </row>
    <row r="62" spans="1:6" outlineLevel="1" x14ac:dyDescent="0.2">
      <c r="A62" s="1"/>
      <c r="C62" s="35" t="s">
        <v>85</v>
      </c>
      <c r="D62">
        <f>SUBTOTAL(9,D55:D61)</f>
        <v>10603</v>
      </c>
      <c r="E62">
        <f>SUBTOTAL(9,E55:E61)</f>
        <v>618938</v>
      </c>
      <c r="F62">
        <f>SUBTOTAL(9,F55:F61)</f>
        <v>660232</v>
      </c>
    </row>
    <row r="63" spans="1:6" outlineLevel="2" x14ac:dyDescent="0.2">
      <c r="A63" s="1" t="s">
        <v>28</v>
      </c>
      <c r="B63">
        <v>1</v>
      </c>
      <c r="C63" s="8" t="s">
        <v>36</v>
      </c>
      <c r="D63">
        <v>1347</v>
      </c>
      <c r="E63">
        <v>110183</v>
      </c>
      <c r="F63">
        <v>96461</v>
      </c>
    </row>
    <row r="64" spans="1:6" outlineLevel="2" x14ac:dyDescent="0.2">
      <c r="A64" s="1" t="s">
        <v>28</v>
      </c>
      <c r="B64">
        <v>2</v>
      </c>
      <c r="C64" s="8" t="s">
        <v>36</v>
      </c>
      <c r="D64">
        <v>1311</v>
      </c>
      <c r="E64">
        <v>90770</v>
      </c>
      <c r="F64">
        <v>103177</v>
      </c>
    </row>
    <row r="65" spans="1:6" outlineLevel="2" x14ac:dyDescent="0.2">
      <c r="A65" s="1" t="s">
        <v>28</v>
      </c>
      <c r="B65">
        <v>3</v>
      </c>
      <c r="C65" s="8" t="s">
        <v>36</v>
      </c>
      <c r="D65">
        <v>1912</v>
      </c>
      <c r="E65">
        <v>107755</v>
      </c>
      <c r="F65">
        <v>113696</v>
      </c>
    </row>
    <row r="66" spans="1:6" outlineLevel="2" x14ac:dyDescent="0.2">
      <c r="A66" s="1" t="s">
        <v>41</v>
      </c>
      <c r="B66">
        <v>4</v>
      </c>
      <c r="C66" s="8" t="s">
        <v>36</v>
      </c>
      <c r="D66">
        <v>1710</v>
      </c>
      <c r="E66">
        <v>108176</v>
      </c>
      <c r="F66">
        <v>109256</v>
      </c>
    </row>
    <row r="67" spans="1:6" outlineLevel="2" x14ac:dyDescent="0.2">
      <c r="A67" s="1" t="s">
        <v>41</v>
      </c>
      <c r="B67">
        <v>5</v>
      </c>
      <c r="C67" s="8" t="s">
        <v>36</v>
      </c>
      <c r="D67">
        <v>1904</v>
      </c>
      <c r="E67">
        <v>88898</v>
      </c>
      <c r="F67">
        <v>88610</v>
      </c>
    </row>
    <row r="68" spans="1:6" outlineLevel="2" x14ac:dyDescent="0.2">
      <c r="A68" s="1" t="s">
        <v>42</v>
      </c>
      <c r="B68">
        <v>6</v>
      </c>
      <c r="C68" s="8" t="s">
        <v>36</v>
      </c>
      <c r="D68">
        <v>1320</v>
      </c>
      <c r="E68">
        <v>106918</v>
      </c>
      <c r="F68">
        <v>101907</v>
      </c>
    </row>
    <row r="69" spans="1:6" outlineLevel="2" x14ac:dyDescent="0.2">
      <c r="A69" s="1" t="s">
        <v>42</v>
      </c>
      <c r="B69">
        <v>7</v>
      </c>
      <c r="C69" s="8" t="s">
        <v>36</v>
      </c>
      <c r="D69">
        <v>1941</v>
      </c>
      <c r="E69">
        <v>56725</v>
      </c>
      <c r="F69">
        <v>63415</v>
      </c>
    </row>
    <row r="70" spans="1:6" outlineLevel="1" x14ac:dyDescent="0.2">
      <c r="A70" s="1"/>
      <c r="C70" s="35" t="s">
        <v>86</v>
      </c>
      <c r="D70">
        <f>SUBTOTAL(9,D63:D69)</f>
        <v>11445</v>
      </c>
      <c r="E70">
        <f>SUBTOTAL(9,E63:E69)</f>
        <v>669425</v>
      </c>
      <c r="F70">
        <f>SUBTOTAL(9,F63:F69)</f>
        <v>676522</v>
      </c>
    </row>
    <row r="71" spans="1:6" outlineLevel="2" x14ac:dyDescent="0.2">
      <c r="A71" s="1" t="s">
        <v>28</v>
      </c>
      <c r="B71">
        <v>1</v>
      </c>
      <c r="C71" s="8" t="s">
        <v>37</v>
      </c>
      <c r="D71">
        <v>1395</v>
      </c>
      <c r="E71">
        <v>92105</v>
      </c>
      <c r="F71">
        <v>100371</v>
      </c>
    </row>
    <row r="72" spans="1:6" outlineLevel="2" x14ac:dyDescent="0.2">
      <c r="A72" s="1" t="s">
        <v>28</v>
      </c>
      <c r="B72">
        <v>2</v>
      </c>
      <c r="C72" s="8" t="s">
        <v>37</v>
      </c>
      <c r="D72">
        <v>1669</v>
      </c>
      <c r="E72">
        <v>115275</v>
      </c>
      <c r="F72">
        <v>68672</v>
      </c>
    </row>
    <row r="73" spans="1:6" outlineLevel="2" x14ac:dyDescent="0.2">
      <c r="A73" s="1" t="s">
        <v>28</v>
      </c>
      <c r="B73">
        <v>3</v>
      </c>
      <c r="C73" s="8" t="s">
        <v>37</v>
      </c>
      <c r="D73">
        <v>1500</v>
      </c>
      <c r="E73">
        <v>106328</v>
      </c>
      <c r="F73">
        <v>100992</v>
      </c>
    </row>
    <row r="74" spans="1:6" outlineLevel="2" x14ac:dyDescent="0.2">
      <c r="A74" s="1" t="s">
        <v>41</v>
      </c>
      <c r="B74">
        <v>4</v>
      </c>
      <c r="C74" s="8" t="s">
        <v>37</v>
      </c>
      <c r="D74">
        <v>1142</v>
      </c>
      <c r="E74">
        <v>53505</v>
      </c>
      <c r="F74">
        <v>88861</v>
      </c>
    </row>
    <row r="75" spans="1:6" outlineLevel="2" x14ac:dyDescent="0.2">
      <c r="A75" s="1" t="s">
        <v>41</v>
      </c>
      <c r="B75">
        <v>5</v>
      </c>
      <c r="C75" s="8" t="s">
        <v>37</v>
      </c>
      <c r="D75">
        <v>1986</v>
      </c>
      <c r="E75">
        <v>106854</v>
      </c>
      <c r="F75">
        <v>75181</v>
      </c>
    </row>
    <row r="76" spans="1:6" outlineLevel="2" x14ac:dyDescent="0.2">
      <c r="A76" s="1" t="s">
        <v>42</v>
      </c>
      <c r="B76">
        <v>6</v>
      </c>
      <c r="C76" s="8" t="s">
        <v>37</v>
      </c>
      <c r="D76">
        <v>1845</v>
      </c>
      <c r="E76">
        <v>99240</v>
      </c>
      <c r="F76">
        <v>79087</v>
      </c>
    </row>
    <row r="77" spans="1:6" outlineLevel="2" x14ac:dyDescent="0.2">
      <c r="A77" s="1" t="s">
        <v>42</v>
      </c>
      <c r="B77">
        <v>7</v>
      </c>
      <c r="C77" s="8" t="s">
        <v>37</v>
      </c>
      <c r="D77">
        <v>1207</v>
      </c>
      <c r="E77">
        <v>108741</v>
      </c>
      <c r="F77">
        <v>91656</v>
      </c>
    </row>
    <row r="78" spans="1:6" outlineLevel="1" x14ac:dyDescent="0.2">
      <c r="A78" s="1"/>
      <c r="C78" s="35" t="s">
        <v>87</v>
      </c>
      <c r="D78">
        <f>SUBTOTAL(9,D71:D77)</f>
        <v>10744</v>
      </c>
      <c r="E78">
        <f>SUBTOTAL(9,E71:E77)</f>
        <v>682048</v>
      </c>
      <c r="F78">
        <f>SUBTOTAL(9,F71:F77)</f>
        <v>604820</v>
      </c>
    </row>
    <row r="79" spans="1:6" outlineLevel="2" x14ac:dyDescent="0.2">
      <c r="A79" s="1" t="s">
        <v>28</v>
      </c>
      <c r="B79">
        <v>1</v>
      </c>
      <c r="C79" s="8" t="s">
        <v>38</v>
      </c>
      <c r="D79">
        <v>1433</v>
      </c>
      <c r="E79">
        <v>65223</v>
      </c>
      <c r="F79">
        <v>84370</v>
      </c>
    </row>
    <row r="80" spans="1:6" outlineLevel="2" x14ac:dyDescent="0.2">
      <c r="A80" s="1" t="s">
        <v>28</v>
      </c>
      <c r="B80">
        <v>2</v>
      </c>
      <c r="C80" s="8" t="s">
        <v>38</v>
      </c>
      <c r="D80">
        <v>1003</v>
      </c>
      <c r="E80">
        <v>113842</v>
      </c>
      <c r="F80">
        <v>105031</v>
      </c>
    </row>
    <row r="81" spans="1:6" outlineLevel="2" x14ac:dyDescent="0.2">
      <c r="A81" s="1" t="s">
        <v>28</v>
      </c>
      <c r="B81">
        <v>3</v>
      </c>
      <c r="C81" s="8" t="s">
        <v>38</v>
      </c>
      <c r="D81">
        <v>1243</v>
      </c>
      <c r="E81">
        <v>64356</v>
      </c>
      <c r="F81">
        <v>66568</v>
      </c>
    </row>
    <row r="82" spans="1:6" outlineLevel="2" x14ac:dyDescent="0.2">
      <c r="A82" s="1" t="s">
        <v>41</v>
      </c>
      <c r="B82">
        <v>4</v>
      </c>
      <c r="C82" s="8" t="s">
        <v>38</v>
      </c>
      <c r="D82">
        <v>1689</v>
      </c>
      <c r="E82">
        <v>79697</v>
      </c>
      <c r="F82">
        <v>74691</v>
      </c>
    </row>
    <row r="83" spans="1:6" outlineLevel="2" x14ac:dyDescent="0.2">
      <c r="A83" s="1" t="s">
        <v>41</v>
      </c>
      <c r="B83">
        <v>5</v>
      </c>
      <c r="C83" s="8" t="s">
        <v>38</v>
      </c>
      <c r="D83">
        <v>1244</v>
      </c>
      <c r="E83">
        <v>76692</v>
      </c>
      <c r="F83">
        <v>118227</v>
      </c>
    </row>
    <row r="84" spans="1:6" outlineLevel="2" x14ac:dyDescent="0.2">
      <c r="A84" s="1" t="s">
        <v>42</v>
      </c>
      <c r="B84">
        <v>6</v>
      </c>
      <c r="C84" s="8" t="s">
        <v>38</v>
      </c>
      <c r="D84">
        <v>1417</v>
      </c>
      <c r="E84">
        <v>54017</v>
      </c>
      <c r="F84">
        <v>59232</v>
      </c>
    </row>
    <row r="85" spans="1:6" outlineLevel="2" x14ac:dyDescent="0.2">
      <c r="A85" s="1" t="s">
        <v>42</v>
      </c>
      <c r="B85">
        <v>7</v>
      </c>
      <c r="C85" s="8" t="s">
        <v>38</v>
      </c>
      <c r="D85">
        <v>1294</v>
      </c>
      <c r="E85">
        <v>50934</v>
      </c>
      <c r="F85">
        <v>51435</v>
      </c>
    </row>
    <row r="86" spans="1:6" outlineLevel="1" x14ac:dyDescent="0.2">
      <c r="A86" s="1"/>
      <c r="C86" s="35" t="s">
        <v>88</v>
      </c>
      <c r="D86">
        <f>SUBTOTAL(9,D79:D85)</f>
        <v>9323</v>
      </c>
      <c r="E86">
        <f>SUBTOTAL(9,E79:E85)</f>
        <v>504761</v>
      </c>
      <c r="F86">
        <f>SUBTOTAL(9,F79:F85)</f>
        <v>559554</v>
      </c>
    </row>
    <row r="87" spans="1:6" outlineLevel="2" x14ac:dyDescent="0.2">
      <c r="A87" s="1" t="s">
        <v>28</v>
      </c>
      <c r="B87">
        <v>1</v>
      </c>
      <c r="C87" s="8" t="s">
        <v>39</v>
      </c>
      <c r="D87">
        <v>1968</v>
      </c>
      <c r="E87">
        <v>94201</v>
      </c>
      <c r="F87">
        <v>104731</v>
      </c>
    </row>
    <row r="88" spans="1:6" outlineLevel="2" x14ac:dyDescent="0.2">
      <c r="A88" s="1" t="s">
        <v>28</v>
      </c>
      <c r="B88">
        <v>2</v>
      </c>
      <c r="C88" s="8" t="s">
        <v>39</v>
      </c>
      <c r="D88">
        <v>1707</v>
      </c>
      <c r="E88">
        <v>60474</v>
      </c>
      <c r="F88">
        <v>98572</v>
      </c>
    </row>
    <row r="89" spans="1:6" outlineLevel="2" x14ac:dyDescent="0.2">
      <c r="A89" s="1" t="s">
        <v>28</v>
      </c>
      <c r="B89">
        <v>3</v>
      </c>
      <c r="C89" s="8" t="s">
        <v>39</v>
      </c>
      <c r="D89">
        <v>1812</v>
      </c>
      <c r="E89">
        <v>73596</v>
      </c>
      <c r="F89">
        <v>107414</v>
      </c>
    </row>
    <row r="90" spans="1:6" outlineLevel="2" x14ac:dyDescent="0.2">
      <c r="A90" s="1" t="s">
        <v>41</v>
      </c>
      <c r="B90">
        <v>4</v>
      </c>
      <c r="C90" s="8" t="s">
        <v>39</v>
      </c>
      <c r="D90">
        <v>1004</v>
      </c>
      <c r="E90">
        <v>96514</v>
      </c>
      <c r="F90">
        <v>107287</v>
      </c>
    </row>
    <row r="91" spans="1:6" outlineLevel="2" x14ac:dyDescent="0.2">
      <c r="A91" s="1" t="s">
        <v>41</v>
      </c>
      <c r="B91">
        <v>5</v>
      </c>
      <c r="C91" s="8" t="s">
        <v>39</v>
      </c>
      <c r="D91">
        <v>1628</v>
      </c>
      <c r="E91">
        <v>70070</v>
      </c>
      <c r="F91">
        <v>104105</v>
      </c>
    </row>
    <row r="92" spans="1:6" outlineLevel="2" x14ac:dyDescent="0.2">
      <c r="A92" s="1" t="s">
        <v>42</v>
      </c>
      <c r="B92">
        <v>6</v>
      </c>
      <c r="C92" s="8" t="s">
        <v>39</v>
      </c>
      <c r="D92">
        <v>1704</v>
      </c>
      <c r="E92">
        <v>105893</v>
      </c>
      <c r="F92">
        <v>78452</v>
      </c>
    </row>
    <row r="93" spans="1:6" outlineLevel="2" x14ac:dyDescent="0.2">
      <c r="A93" s="1" t="s">
        <v>42</v>
      </c>
      <c r="B93">
        <v>7</v>
      </c>
      <c r="C93" s="8" t="s">
        <v>39</v>
      </c>
      <c r="D93">
        <v>1393</v>
      </c>
      <c r="E93">
        <v>103925</v>
      </c>
      <c r="F93">
        <v>51492</v>
      </c>
    </row>
    <row r="94" spans="1:6" outlineLevel="1" x14ac:dyDescent="0.2">
      <c r="A94" s="1"/>
      <c r="C94" s="35" t="s">
        <v>89</v>
      </c>
      <c r="D94">
        <f>SUBTOTAL(9,D87:D93)</f>
        <v>11216</v>
      </c>
      <c r="E94">
        <f>SUBTOTAL(9,E87:E93)</f>
        <v>604673</v>
      </c>
      <c r="F94">
        <f>SUBTOTAL(9,F87:F93)</f>
        <v>652053</v>
      </c>
    </row>
    <row r="95" spans="1:6" outlineLevel="2" x14ac:dyDescent="0.2">
      <c r="A95" s="1" t="s">
        <v>28</v>
      </c>
      <c r="B95">
        <v>1</v>
      </c>
      <c r="C95" s="8" t="s">
        <v>40</v>
      </c>
      <c r="D95">
        <v>1181</v>
      </c>
      <c r="E95">
        <v>90667</v>
      </c>
      <c r="F95">
        <v>85403</v>
      </c>
    </row>
    <row r="96" spans="1:6" outlineLevel="2" x14ac:dyDescent="0.2">
      <c r="A96" s="1" t="s">
        <v>28</v>
      </c>
      <c r="B96">
        <v>2</v>
      </c>
      <c r="C96" s="8" t="s">
        <v>40</v>
      </c>
      <c r="D96">
        <v>1055</v>
      </c>
      <c r="E96">
        <v>71265</v>
      </c>
      <c r="F96">
        <v>106488</v>
      </c>
    </row>
    <row r="97" spans="1:6" outlineLevel="2" x14ac:dyDescent="0.2">
      <c r="A97" s="1" t="s">
        <v>28</v>
      </c>
      <c r="B97">
        <v>3</v>
      </c>
      <c r="C97" s="8" t="s">
        <v>40</v>
      </c>
      <c r="D97">
        <v>1794</v>
      </c>
      <c r="E97">
        <v>50286</v>
      </c>
      <c r="F97">
        <v>116598</v>
      </c>
    </row>
    <row r="98" spans="1:6" outlineLevel="2" x14ac:dyDescent="0.2">
      <c r="A98" s="1" t="s">
        <v>41</v>
      </c>
      <c r="B98">
        <v>4</v>
      </c>
      <c r="C98" s="8" t="s">
        <v>40</v>
      </c>
      <c r="D98">
        <v>1897</v>
      </c>
      <c r="E98">
        <v>52216</v>
      </c>
      <c r="F98">
        <v>98128</v>
      </c>
    </row>
    <row r="99" spans="1:6" outlineLevel="2" x14ac:dyDescent="0.2">
      <c r="A99" s="1" t="s">
        <v>41</v>
      </c>
      <c r="B99">
        <v>5</v>
      </c>
      <c r="C99" s="8" t="s">
        <v>40</v>
      </c>
      <c r="D99">
        <v>1365</v>
      </c>
      <c r="E99">
        <v>64052</v>
      </c>
      <c r="F99">
        <v>92564</v>
      </c>
    </row>
    <row r="100" spans="1:6" outlineLevel="2" x14ac:dyDescent="0.2">
      <c r="A100" s="1" t="s">
        <v>42</v>
      </c>
      <c r="B100">
        <v>6</v>
      </c>
      <c r="C100" s="8" t="s">
        <v>40</v>
      </c>
      <c r="D100">
        <v>1992</v>
      </c>
      <c r="E100">
        <v>110301</v>
      </c>
      <c r="F100">
        <v>98539</v>
      </c>
    </row>
    <row r="101" spans="1:6" outlineLevel="2" x14ac:dyDescent="0.2">
      <c r="A101" s="1" t="s">
        <v>42</v>
      </c>
      <c r="B101">
        <v>7</v>
      </c>
      <c r="C101" s="8" t="s">
        <v>40</v>
      </c>
      <c r="D101">
        <v>1902</v>
      </c>
      <c r="E101">
        <v>75885</v>
      </c>
      <c r="F101">
        <v>101270</v>
      </c>
    </row>
    <row r="102" spans="1:6" outlineLevel="1" x14ac:dyDescent="0.2">
      <c r="A102" s="1"/>
      <c r="C102" s="35" t="s">
        <v>90</v>
      </c>
      <c r="D102">
        <f>SUBTOTAL(9,D95:D101)</f>
        <v>11186</v>
      </c>
      <c r="E102">
        <f>SUBTOTAL(9,E95:E101)</f>
        <v>514672</v>
      </c>
      <c r="F102">
        <f>SUBTOTAL(9,F95:F101)</f>
        <v>698990</v>
      </c>
    </row>
    <row r="103" spans="1:6" x14ac:dyDescent="0.2">
      <c r="A103" s="1"/>
      <c r="C103" s="35" t="s">
        <v>78</v>
      </c>
      <c r="D103">
        <f>SUBTOTAL(9,D7:D101)</f>
        <v>126420</v>
      </c>
      <c r="E103">
        <f>SUBTOTAL(9,E7:E101)</f>
        <v>7002774</v>
      </c>
      <c r="F103">
        <f>SUBTOTAL(9,F7:F101)</f>
        <v>7427914</v>
      </c>
    </row>
  </sheetData>
  <sortState xmlns:xlrd2="http://schemas.microsoft.com/office/spreadsheetml/2017/richdata2" ref="A7:F101">
    <sortCondition ref="C7:C101"/>
  </sortState>
  <phoneticPr fontId="0" type="noConversion"/>
  <pageMargins left="0.7" right="0.7" top="0.78740157499999996" bottom="0.78740157499999996" header="0.3" footer="0.3"/>
  <pageSetup paperSize="9" orientation="portrait" r:id="rId1"/>
  <rowBreaks count="12" manualBreakCount="12">
    <brk id="14" max="16383" man="1"/>
    <brk id="22" max="16383" man="1"/>
    <brk id="30" max="16383" man="1"/>
    <brk id="38" max="16383" man="1"/>
    <brk id="46" max="16383" man="1"/>
    <brk id="54" max="16383" man="1"/>
    <brk id="62" max="16383" man="1"/>
    <brk id="70" max="16383" man="1"/>
    <brk id="78" max="16383" man="1"/>
    <brk id="86" max="16383" man="1"/>
    <brk id="94" max="16383" man="1"/>
    <brk id="103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7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K14" sqref="K14"/>
    </sheetView>
  </sheetViews>
  <sheetFormatPr defaultRowHeight="12.75" outlineLevelRow="2" x14ac:dyDescent="0.2"/>
  <cols>
    <col min="3" max="3" width="15.28515625" customWidth="1"/>
    <col min="4" max="4" width="17.42578125" customWidth="1"/>
    <col min="5" max="5" width="26" customWidth="1"/>
  </cols>
  <sheetData>
    <row r="1" spans="1:12" ht="18" x14ac:dyDescent="0.25">
      <c r="A1" s="11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8" x14ac:dyDescent="0.25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7" spans="1:12" ht="15.75" x14ac:dyDescent="0.25">
      <c r="A7" s="4" t="s">
        <v>16</v>
      </c>
      <c r="B7" s="4" t="s">
        <v>17</v>
      </c>
      <c r="C7" s="4" t="s">
        <v>18</v>
      </c>
      <c r="D7" s="4" t="s">
        <v>14</v>
      </c>
      <c r="E7" s="4" t="s">
        <v>15</v>
      </c>
    </row>
    <row r="8" spans="1:12" outlineLevel="2" x14ac:dyDescent="0.2">
      <c r="A8" t="s">
        <v>1</v>
      </c>
      <c r="B8" t="s">
        <v>6</v>
      </c>
      <c r="C8" t="s">
        <v>11</v>
      </c>
      <c r="D8">
        <v>7</v>
      </c>
      <c r="E8">
        <v>120</v>
      </c>
    </row>
    <row r="9" spans="1:12" outlineLevel="2" x14ac:dyDescent="0.2">
      <c r="A9" t="s">
        <v>1</v>
      </c>
      <c r="B9" t="s">
        <v>6</v>
      </c>
      <c r="C9" t="s">
        <v>13</v>
      </c>
      <c r="D9">
        <v>11</v>
      </c>
      <c r="E9">
        <v>391</v>
      </c>
    </row>
    <row r="10" spans="1:12" outlineLevel="2" x14ac:dyDescent="0.2">
      <c r="A10" t="s">
        <v>1</v>
      </c>
      <c r="B10" t="s">
        <v>6</v>
      </c>
      <c r="C10" t="s">
        <v>12</v>
      </c>
      <c r="D10">
        <v>14</v>
      </c>
      <c r="E10">
        <v>129</v>
      </c>
    </row>
    <row r="11" spans="1:12" outlineLevel="1" x14ac:dyDescent="0.2">
      <c r="B11" s="37" t="s">
        <v>97</v>
      </c>
      <c r="E11">
        <f>SUBTOTAL(9,E8:E10)</f>
        <v>640</v>
      </c>
    </row>
    <row r="12" spans="1:12" outlineLevel="2" x14ac:dyDescent="0.2">
      <c r="A12" t="s">
        <v>1</v>
      </c>
      <c r="B12" t="s">
        <v>7</v>
      </c>
      <c r="C12" t="s">
        <v>12</v>
      </c>
      <c r="D12">
        <v>14</v>
      </c>
      <c r="E12">
        <v>282</v>
      </c>
    </row>
    <row r="13" spans="1:12" outlineLevel="2" x14ac:dyDescent="0.2">
      <c r="A13" t="s">
        <v>1</v>
      </c>
      <c r="B13" t="s">
        <v>7</v>
      </c>
      <c r="C13" t="s">
        <v>11</v>
      </c>
      <c r="D13">
        <v>14</v>
      </c>
      <c r="E13">
        <v>318</v>
      </c>
    </row>
    <row r="14" spans="1:12" outlineLevel="2" x14ac:dyDescent="0.2">
      <c r="A14" t="s">
        <v>1</v>
      </c>
      <c r="B14" t="s">
        <v>7</v>
      </c>
      <c r="C14" t="s">
        <v>13</v>
      </c>
      <c r="D14">
        <v>14</v>
      </c>
      <c r="E14">
        <v>405</v>
      </c>
    </row>
    <row r="15" spans="1:12" outlineLevel="1" x14ac:dyDescent="0.2">
      <c r="B15" s="37" t="s">
        <v>98</v>
      </c>
      <c r="E15">
        <f>SUBTOTAL(9,E12:E14)</f>
        <v>1005</v>
      </c>
    </row>
    <row r="16" spans="1:12" outlineLevel="2" x14ac:dyDescent="0.2">
      <c r="A16" t="s">
        <v>1</v>
      </c>
      <c r="B16" t="s">
        <v>10</v>
      </c>
      <c r="C16" t="s">
        <v>13</v>
      </c>
      <c r="D16">
        <v>7</v>
      </c>
      <c r="E16">
        <v>447</v>
      </c>
    </row>
    <row r="17" spans="1:5" outlineLevel="2" x14ac:dyDescent="0.2">
      <c r="A17" t="s">
        <v>1</v>
      </c>
      <c r="B17" t="s">
        <v>10</v>
      </c>
      <c r="C17" t="s">
        <v>11</v>
      </c>
      <c r="D17">
        <v>11</v>
      </c>
      <c r="E17">
        <v>274</v>
      </c>
    </row>
    <row r="18" spans="1:5" outlineLevel="2" x14ac:dyDescent="0.2">
      <c r="A18" t="s">
        <v>1</v>
      </c>
      <c r="B18" t="s">
        <v>10</v>
      </c>
      <c r="C18" t="s">
        <v>12</v>
      </c>
      <c r="D18">
        <v>12</v>
      </c>
      <c r="E18">
        <v>349</v>
      </c>
    </row>
    <row r="19" spans="1:5" outlineLevel="1" x14ac:dyDescent="0.2">
      <c r="B19" s="37" t="s">
        <v>99</v>
      </c>
      <c r="E19">
        <f>SUBTOTAL(9,E16:E18)</f>
        <v>1070</v>
      </c>
    </row>
    <row r="20" spans="1:5" outlineLevel="2" x14ac:dyDescent="0.2">
      <c r="A20" t="s">
        <v>1</v>
      </c>
      <c r="B20" t="s">
        <v>8</v>
      </c>
      <c r="C20" t="s">
        <v>12</v>
      </c>
      <c r="D20">
        <v>7</v>
      </c>
      <c r="E20">
        <v>272</v>
      </c>
    </row>
    <row r="21" spans="1:5" outlineLevel="2" x14ac:dyDescent="0.2">
      <c r="A21" t="s">
        <v>1</v>
      </c>
      <c r="B21" t="s">
        <v>8</v>
      </c>
      <c r="C21" t="s">
        <v>11</v>
      </c>
      <c r="D21">
        <v>7</v>
      </c>
      <c r="E21">
        <v>412</v>
      </c>
    </row>
    <row r="22" spans="1:5" outlineLevel="2" x14ac:dyDescent="0.2">
      <c r="A22" t="s">
        <v>1</v>
      </c>
      <c r="B22" t="s">
        <v>8</v>
      </c>
      <c r="C22" t="s">
        <v>13</v>
      </c>
      <c r="D22">
        <v>14</v>
      </c>
      <c r="E22">
        <v>415</v>
      </c>
    </row>
    <row r="23" spans="1:5" outlineLevel="1" x14ac:dyDescent="0.2">
      <c r="B23" s="37" t="s">
        <v>100</v>
      </c>
      <c r="E23">
        <f>SUBTOTAL(9,E20:E22)</f>
        <v>1099</v>
      </c>
    </row>
    <row r="24" spans="1:5" outlineLevel="2" x14ac:dyDescent="0.2">
      <c r="A24" t="s">
        <v>1</v>
      </c>
      <c r="B24" t="s">
        <v>9</v>
      </c>
      <c r="C24" t="s">
        <v>11</v>
      </c>
      <c r="D24">
        <v>7</v>
      </c>
      <c r="E24">
        <v>122</v>
      </c>
    </row>
    <row r="25" spans="1:5" outlineLevel="2" x14ac:dyDescent="0.2">
      <c r="A25" t="s">
        <v>1</v>
      </c>
      <c r="B25" t="s">
        <v>9</v>
      </c>
      <c r="C25" t="s">
        <v>13</v>
      </c>
      <c r="D25">
        <v>7</v>
      </c>
      <c r="E25">
        <v>260</v>
      </c>
    </row>
    <row r="26" spans="1:5" outlineLevel="2" x14ac:dyDescent="0.2">
      <c r="A26" t="s">
        <v>1</v>
      </c>
      <c r="B26" t="s">
        <v>9</v>
      </c>
      <c r="C26" t="s">
        <v>12</v>
      </c>
      <c r="D26">
        <v>12</v>
      </c>
      <c r="E26">
        <v>286</v>
      </c>
    </row>
    <row r="27" spans="1:5" outlineLevel="1" x14ac:dyDescent="0.2">
      <c r="B27" s="37" t="s">
        <v>101</v>
      </c>
      <c r="E27">
        <f>SUBTOTAL(9,E24:E26)</f>
        <v>668</v>
      </c>
    </row>
    <row r="28" spans="1:5" outlineLevel="2" x14ac:dyDescent="0.2">
      <c r="A28" t="s">
        <v>3</v>
      </c>
      <c r="B28" t="s">
        <v>6</v>
      </c>
      <c r="C28" t="s">
        <v>11</v>
      </c>
      <c r="D28">
        <v>7</v>
      </c>
      <c r="E28">
        <v>178</v>
      </c>
    </row>
    <row r="29" spans="1:5" outlineLevel="2" x14ac:dyDescent="0.2">
      <c r="A29" t="s">
        <v>3</v>
      </c>
      <c r="B29" t="s">
        <v>6</v>
      </c>
      <c r="C29" t="s">
        <v>13</v>
      </c>
      <c r="D29">
        <v>7</v>
      </c>
      <c r="E29">
        <v>178</v>
      </c>
    </row>
    <row r="30" spans="1:5" outlineLevel="2" x14ac:dyDescent="0.2">
      <c r="A30" t="s">
        <v>3</v>
      </c>
      <c r="B30" t="s">
        <v>6</v>
      </c>
      <c r="C30" t="s">
        <v>12</v>
      </c>
      <c r="D30">
        <v>14</v>
      </c>
      <c r="E30">
        <v>316</v>
      </c>
    </row>
    <row r="31" spans="1:5" outlineLevel="1" x14ac:dyDescent="0.2">
      <c r="B31" s="37" t="s">
        <v>97</v>
      </c>
      <c r="E31">
        <f>SUBTOTAL(9,E28:E30)</f>
        <v>672</v>
      </c>
    </row>
    <row r="32" spans="1:5" outlineLevel="2" x14ac:dyDescent="0.2">
      <c r="A32" t="s">
        <v>3</v>
      </c>
      <c r="B32" t="s">
        <v>7</v>
      </c>
      <c r="C32" t="s">
        <v>12</v>
      </c>
      <c r="D32">
        <v>11</v>
      </c>
      <c r="E32">
        <v>206</v>
      </c>
    </row>
    <row r="33" spans="1:5" outlineLevel="2" x14ac:dyDescent="0.2">
      <c r="A33" t="s">
        <v>3</v>
      </c>
      <c r="B33" t="s">
        <v>7</v>
      </c>
      <c r="C33" t="s">
        <v>13</v>
      </c>
      <c r="D33">
        <v>11</v>
      </c>
      <c r="E33">
        <v>267</v>
      </c>
    </row>
    <row r="34" spans="1:5" outlineLevel="2" x14ac:dyDescent="0.2">
      <c r="A34" t="s">
        <v>3</v>
      </c>
      <c r="B34" t="s">
        <v>7</v>
      </c>
      <c r="C34" t="s">
        <v>11</v>
      </c>
      <c r="D34">
        <v>12</v>
      </c>
      <c r="E34">
        <v>446</v>
      </c>
    </row>
    <row r="35" spans="1:5" outlineLevel="1" x14ac:dyDescent="0.2">
      <c r="B35" s="37" t="s">
        <v>98</v>
      </c>
      <c r="E35">
        <f>SUBTOTAL(9,E32:E34)</f>
        <v>919</v>
      </c>
    </row>
    <row r="36" spans="1:5" outlineLevel="2" x14ac:dyDescent="0.2">
      <c r="A36" t="s">
        <v>3</v>
      </c>
      <c r="B36" t="s">
        <v>10</v>
      </c>
      <c r="C36" t="s">
        <v>13</v>
      </c>
      <c r="D36">
        <v>7</v>
      </c>
      <c r="E36">
        <v>332</v>
      </c>
    </row>
    <row r="37" spans="1:5" outlineLevel="2" x14ac:dyDescent="0.2">
      <c r="A37" t="s">
        <v>3</v>
      </c>
      <c r="B37" t="s">
        <v>10</v>
      </c>
      <c r="C37" t="s">
        <v>12</v>
      </c>
      <c r="D37">
        <v>12</v>
      </c>
      <c r="E37">
        <v>345</v>
      </c>
    </row>
    <row r="38" spans="1:5" outlineLevel="2" x14ac:dyDescent="0.2">
      <c r="A38" t="s">
        <v>3</v>
      </c>
      <c r="B38" t="s">
        <v>10</v>
      </c>
      <c r="C38" t="s">
        <v>11</v>
      </c>
      <c r="D38">
        <v>14</v>
      </c>
      <c r="E38">
        <v>354</v>
      </c>
    </row>
    <row r="39" spans="1:5" outlineLevel="1" x14ac:dyDescent="0.2">
      <c r="B39" s="37" t="s">
        <v>99</v>
      </c>
      <c r="E39">
        <f>SUBTOTAL(9,E36:E38)</f>
        <v>1031</v>
      </c>
    </row>
    <row r="40" spans="1:5" outlineLevel="2" x14ac:dyDescent="0.2">
      <c r="A40" t="s">
        <v>3</v>
      </c>
      <c r="B40" t="s">
        <v>8</v>
      </c>
      <c r="C40" t="s">
        <v>12</v>
      </c>
      <c r="D40">
        <v>11</v>
      </c>
      <c r="E40">
        <v>134</v>
      </c>
    </row>
    <row r="41" spans="1:5" outlineLevel="2" x14ac:dyDescent="0.2">
      <c r="A41" t="s">
        <v>3</v>
      </c>
      <c r="B41" t="s">
        <v>8</v>
      </c>
      <c r="C41" t="s">
        <v>13</v>
      </c>
      <c r="D41">
        <v>11</v>
      </c>
      <c r="E41">
        <v>385</v>
      </c>
    </row>
    <row r="42" spans="1:5" outlineLevel="2" x14ac:dyDescent="0.2">
      <c r="A42" t="s">
        <v>3</v>
      </c>
      <c r="B42" t="s">
        <v>8</v>
      </c>
      <c r="C42" t="s">
        <v>11</v>
      </c>
      <c r="D42">
        <v>12</v>
      </c>
      <c r="E42">
        <v>441</v>
      </c>
    </row>
    <row r="43" spans="1:5" outlineLevel="1" x14ac:dyDescent="0.2">
      <c r="B43" s="37" t="s">
        <v>100</v>
      </c>
      <c r="E43">
        <f>SUBTOTAL(9,E40:E42)</f>
        <v>960</v>
      </c>
    </row>
    <row r="44" spans="1:5" outlineLevel="2" x14ac:dyDescent="0.2">
      <c r="A44" t="s">
        <v>3</v>
      </c>
      <c r="B44" t="s">
        <v>9</v>
      </c>
      <c r="C44" t="s">
        <v>12</v>
      </c>
      <c r="D44">
        <v>11</v>
      </c>
      <c r="E44">
        <v>170</v>
      </c>
    </row>
    <row r="45" spans="1:5" outlineLevel="2" x14ac:dyDescent="0.2">
      <c r="A45" t="s">
        <v>3</v>
      </c>
      <c r="B45" t="s">
        <v>9</v>
      </c>
      <c r="C45" t="s">
        <v>13</v>
      </c>
      <c r="D45">
        <v>11</v>
      </c>
      <c r="E45">
        <v>432</v>
      </c>
    </row>
    <row r="46" spans="1:5" outlineLevel="2" x14ac:dyDescent="0.2">
      <c r="A46" t="s">
        <v>3</v>
      </c>
      <c r="B46" t="s">
        <v>9</v>
      </c>
      <c r="C46" t="s">
        <v>11</v>
      </c>
      <c r="D46">
        <v>12</v>
      </c>
      <c r="E46">
        <v>124</v>
      </c>
    </row>
    <row r="47" spans="1:5" outlineLevel="1" x14ac:dyDescent="0.2">
      <c r="B47" s="37" t="s">
        <v>101</v>
      </c>
      <c r="E47">
        <f>SUBTOTAL(9,E44:E46)</f>
        <v>726</v>
      </c>
    </row>
    <row r="48" spans="1:5" outlineLevel="2" x14ac:dyDescent="0.2">
      <c r="A48" t="s">
        <v>0</v>
      </c>
      <c r="B48" t="s">
        <v>6</v>
      </c>
      <c r="C48" t="s">
        <v>13</v>
      </c>
      <c r="D48">
        <v>7</v>
      </c>
      <c r="E48">
        <v>471</v>
      </c>
    </row>
    <row r="49" spans="1:5" outlineLevel="2" x14ac:dyDescent="0.2">
      <c r="A49" t="s">
        <v>0</v>
      </c>
      <c r="B49" t="s">
        <v>6</v>
      </c>
      <c r="C49" t="s">
        <v>11</v>
      </c>
      <c r="D49">
        <v>11</v>
      </c>
      <c r="E49">
        <v>489</v>
      </c>
    </row>
    <row r="50" spans="1:5" outlineLevel="2" x14ac:dyDescent="0.2">
      <c r="A50" t="s">
        <v>0</v>
      </c>
      <c r="B50" t="s">
        <v>6</v>
      </c>
      <c r="C50" t="s">
        <v>12</v>
      </c>
      <c r="D50">
        <v>12</v>
      </c>
      <c r="E50">
        <v>460</v>
      </c>
    </row>
    <row r="51" spans="1:5" outlineLevel="1" x14ac:dyDescent="0.2">
      <c r="B51" s="37" t="s">
        <v>97</v>
      </c>
      <c r="E51">
        <f>SUBTOTAL(9,E48:E50)</f>
        <v>1420</v>
      </c>
    </row>
    <row r="52" spans="1:5" outlineLevel="2" x14ac:dyDescent="0.2">
      <c r="A52" t="s">
        <v>0</v>
      </c>
      <c r="B52" t="s">
        <v>7</v>
      </c>
      <c r="C52" t="s">
        <v>12</v>
      </c>
      <c r="D52">
        <v>14</v>
      </c>
      <c r="E52">
        <v>232</v>
      </c>
    </row>
    <row r="53" spans="1:5" outlineLevel="2" x14ac:dyDescent="0.2">
      <c r="A53" t="s">
        <v>0</v>
      </c>
      <c r="B53" t="s">
        <v>7</v>
      </c>
      <c r="C53" t="s">
        <v>11</v>
      </c>
      <c r="D53">
        <v>14</v>
      </c>
      <c r="E53">
        <v>260</v>
      </c>
    </row>
    <row r="54" spans="1:5" outlineLevel="2" x14ac:dyDescent="0.2">
      <c r="A54" t="s">
        <v>0</v>
      </c>
      <c r="B54" t="s">
        <v>7</v>
      </c>
      <c r="C54" t="s">
        <v>13</v>
      </c>
      <c r="D54">
        <v>14</v>
      </c>
      <c r="E54">
        <v>491</v>
      </c>
    </row>
    <row r="55" spans="1:5" outlineLevel="1" x14ac:dyDescent="0.2">
      <c r="B55" s="37" t="s">
        <v>98</v>
      </c>
      <c r="E55">
        <f>SUBTOTAL(9,E52:E54)</f>
        <v>983</v>
      </c>
    </row>
    <row r="56" spans="1:5" outlineLevel="2" x14ac:dyDescent="0.2">
      <c r="A56" t="s">
        <v>0</v>
      </c>
      <c r="B56" t="s">
        <v>10</v>
      </c>
      <c r="C56" t="s">
        <v>11</v>
      </c>
      <c r="D56">
        <v>11</v>
      </c>
      <c r="E56">
        <v>490</v>
      </c>
    </row>
    <row r="57" spans="1:5" outlineLevel="2" x14ac:dyDescent="0.2">
      <c r="A57" t="s">
        <v>0</v>
      </c>
      <c r="B57" t="s">
        <v>10</v>
      </c>
      <c r="C57" t="s">
        <v>12</v>
      </c>
      <c r="D57">
        <v>12</v>
      </c>
      <c r="E57">
        <v>259</v>
      </c>
    </row>
    <row r="58" spans="1:5" outlineLevel="2" x14ac:dyDescent="0.2">
      <c r="A58" t="s">
        <v>0</v>
      </c>
      <c r="B58" t="s">
        <v>10</v>
      </c>
      <c r="C58" t="s">
        <v>13</v>
      </c>
      <c r="D58">
        <v>12</v>
      </c>
      <c r="E58">
        <v>386</v>
      </c>
    </row>
    <row r="59" spans="1:5" outlineLevel="1" x14ac:dyDescent="0.2">
      <c r="B59" s="37" t="s">
        <v>99</v>
      </c>
      <c r="E59">
        <f>SUBTOTAL(9,E56:E58)</f>
        <v>1135</v>
      </c>
    </row>
    <row r="60" spans="1:5" outlineLevel="2" x14ac:dyDescent="0.2">
      <c r="A60" t="s">
        <v>0</v>
      </c>
      <c r="B60" t="s">
        <v>8</v>
      </c>
      <c r="C60" t="s">
        <v>12</v>
      </c>
      <c r="D60">
        <v>14</v>
      </c>
      <c r="E60">
        <v>457</v>
      </c>
    </row>
    <row r="61" spans="1:5" outlineLevel="2" x14ac:dyDescent="0.2">
      <c r="A61" t="s">
        <v>0</v>
      </c>
      <c r="B61" t="s">
        <v>8</v>
      </c>
      <c r="C61" t="s">
        <v>11</v>
      </c>
      <c r="D61">
        <v>14</v>
      </c>
      <c r="E61">
        <v>401</v>
      </c>
    </row>
    <row r="62" spans="1:5" outlineLevel="2" x14ac:dyDescent="0.2">
      <c r="A62" t="s">
        <v>0</v>
      </c>
      <c r="B62" t="s">
        <v>8</v>
      </c>
      <c r="C62" t="s">
        <v>13</v>
      </c>
      <c r="D62">
        <v>14</v>
      </c>
      <c r="E62">
        <v>479</v>
      </c>
    </row>
    <row r="63" spans="1:5" outlineLevel="1" x14ac:dyDescent="0.2">
      <c r="B63" s="37" t="s">
        <v>100</v>
      </c>
      <c r="E63">
        <f>SUBTOTAL(9,E60:E62)</f>
        <v>1337</v>
      </c>
    </row>
    <row r="64" spans="1:5" outlineLevel="2" x14ac:dyDescent="0.2">
      <c r="A64" t="s">
        <v>0</v>
      </c>
      <c r="B64" t="s">
        <v>9</v>
      </c>
      <c r="C64" t="s">
        <v>11</v>
      </c>
      <c r="D64">
        <v>11</v>
      </c>
      <c r="E64">
        <v>487</v>
      </c>
    </row>
    <row r="65" spans="1:5" outlineLevel="2" x14ac:dyDescent="0.2">
      <c r="A65" t="s">
        <v>0</v>
      </c>
      <c r="B65" t="s">
        <v>9</v>
      </c>
      <c r="C65" t="s">
        <v>12</v>
      </c>
      <c r="D65">
        <v>12</v>
      </c>
      <c r="E65">
        <v>289</v>
      </c>
    </row>
    <row r="66" spans="1:5" outlineLevel="2" x14ac:dyDescent="0.2">
      <c r="A66" t="s">
        <v>0</v>
      </c>
      <c r="B66" t="s">
        <v>9</v>
      </c>
      <c r="C66" t="s">
        <v>13</v>
      </c>
      <c r="D66">
        <v>14</v>
      </c>
      <c r="E66">
        <v>373</v>
      </c>
    </row>
    <row r="67" spans="1:5" outlineLevel="1" x14ac:dyDescent="0.2">
      <c r="B67" s="37" t="s">
        <v>101</v>
      </c>
      <c r="E67">
        <f>SUBTOTAL(9,E64:E66)</f>
        <v>1149</v>
      </c>
    </row>
    <row r="68" spans="1:5" outlineLevel="2" x14ac:dyDescent="0.2">
      <c r="A68" t="s">
        <v>5</v>
      </c>
      <c r="B68" t="s">
        <v>6</v>
      </c>
      <c r="C68" t="s">
        <v>11</v>
      </c>
      <c r="D68">
        <v>7</v>
      </c>
      <c r="E68">
        <v>157</v>
      </c>
    </row>
    <row r="69" spans="1:5" outlineLevel="2" x14ac:dyDescent="0.2">
      <c r="A69" t="s">
        <v>5</v>
      </c>
      <c r="B69" t="s">
        <v>6</v>
      </c>
      <c r="C69" t="s">
        <v>12</v>
      </c>
      <c r="D69">
        <v>14</v>
      </c>
      <c r="E69">
        <v>416</v>
      </c>
    </row>
    <row r="70" spans="1:5" outlineLevel="2" x14ac:dyDescent="0.2">
      <c r="A70" t="s">
        <v>5</v>
      </c>
      <c r="B70" t="s">
        <v>6</v>
      </c>
      <c r="C70" t="s">
        <v>13</v>
      </c>
      <c r="D70">
        <v>14</v>
      </c>
      <c r="E70">
        <v>193</v>
      </c>
    </row>
    <row r="71" spans="1:5" outlineLevel="1" x14ac:dyDescent="0.2">
      <c r="B71" s="37" t="s">
        <v>97</v>
      </c>
      <c r="E71">
        <f>SUBTOTAL(9,E68:E70)</f>
        <v>766</v>
      </c>
    </row>
    <row r="72" spans="1:5" outlineLevel="2" x14ac:dyDescent="0.2">
      <c r="A72" t="s">
        <v>5</v>
      </c>
      <c r="B72" t="s">
        <v>7</v>
      </c>
      <c r="C72" t="s">
        <v>12</v>
      </c>
      <c r="D72">
        <v>7</v>
      </c>
      <c r="E72">
        <v>195</v>
      </c>
    </row>
    <row r="73" spans="1:5" outlineLevel="2" x14ac:dyDescent="0.2">
      <c r="A73" t="s">
        <v>5</v>
      </c>
      <c r="B73" t="s">
        <v>7</v>
      </c>
      <c r="C73" t="s">
        <v>11</v>
      </c>
      <c r="D73">
        <v>7</v>
      </c>
      <c r="E73">
        <v>164</v>
      </c>
    </row>
    <row r="74" spans="1:5" outlineLevel="2" x14ac:dyDescent="0.2">
      <c r="A74" t="s">
        <v>5</v>
      </c>
      <c r="B74" t="s">
        <v>7</v>
      </c>
      <c r="C74" t="s">
        <v>13</v>
      </c>
      <c r="D74">
        <v>14</v>
      </c>
      <c r="E74">
        <v>191</v>
      </c>
    </row>
    <row r="75" spans="1:5" outlineLevel="1" x14ac:dyDescent="0.2">
      <c r="B75" s="37" t="s">
        <v>98</v>
      </c>
      <c r="E75">
        <f>SUBTOTAL(9,E72:E74)</f>
        <v>550</v>
      </c>
    </row>
    <row r="76" spans="1:5" outlineLevel="2" x14ac:dyDescent="0.2">
      <c r="A76" t="s">
        <v>5</v>
      </c>
      <c r="B76" t="s">
        <v>10</v>
      </c>
      <c r="C76" t="s">
        <v>13</v>
      </c>
      <c r="D76">
        <v>11</v>
      </c>
      <c r="E76">
        <v>422</v>
      </c>
    </row>
    <row r="77" spans="1:5" outlineLevel="2" x14ac:dyDescent="0.2">
      <c r="A77" t="s">
        <v>5</v>
      </c>
      <c r="B77" t="s">
        <v>10</v>
      </c>
      <c r="C77" t="s">
        <v>11</v>
      </c>
      <c r="D77">
        <v>12</v>
      </c>
      <c r="E77">
        <v>235</v>
      </c>
    </row>
    <row r="78" spans="1:5" outlineLevel="2" x14ac:dyDescent="0.2">
      <c r="A78" t="s">
        <v>5</v>
      </c>
      <c r="B78" t="s">
        <v>10</v>
      </c>
      <c r="C78" t="s">
        <v>12</v>
      </c>
      <c r="D78">
        <v>14</v>
      </c>
      <c r="E78">
        <v>324</v>
      </c>
    </row>
    <row r="79" spans="1:5" outlineLevel="1" x14ac:dyDescent="0.2">
      <c r="B79" s="37" t="s">
        <v>99</v>
      </c>
      <c r="E79">
        <f>SUBTOTAL(9,E76:E78)</f>
        <v>981</v>
      </c>
    </row>
    <row r="80" spans="1:5" outlineLevel="2" x14ac:dyDescent="0.2">
      <c r="A80" t="s">
        <v>5</v>
      </c>
      <c r="B80" t="s">
        <v>8</v>
      </c>
      <c r="C80" t="s">
        <v>13</v>
      </c>
      <c r="D80">
        <v>7</v>
      </c>
      <c r="E80">
        <v>139</v>
      </c>
    </row>
    <row r="81" spans="1:5" outlineLevel="2" x14ac:dyDescent="0.2">
      <c r="A81" t="s">
        <v>5</v>
      </c>
      <c r="B81" t="s">
        <v>8</v>
      </c>
      <c r="C81" t="s">
        <v>11</v>
      </c>
      <c r="D81">
        <v>11</v>
      </c>
      <c r="E81">
        <v>392</v>
      </c>
    </row>
    <row r="82" spans="1:5" outlineLevel="2" x14ac:dyDescent="0.2">
      <c r="A82" t="s">
        <v>5</v>
      </c>
      <c r="B82" t="s">
        <v>8</v>
      </c>
      <c r="C82" t="s">
        <v>12</v>
      </c>
      <c r="D82">
        <v>12</v>
      </c>
      <c r="E82">
        <v>317</v>
      </c>
    </row>
    <row r="83" spans="1:5" outlineLevel="1" x14ac:dyDescent="0.2">
      <c r="B83" s="37" t="s">
        <v>100</v>
      </c>
      <c r="E83">
        <f>SUBTOTAL(9,E80:E82)</f>
        <v>848</v>
      </c>
    </row>
    <row r="84" spans="1:5" outlineLevel="2" x14ac:dyDescent="0.2">
      <c r="A84" t="s">
        <v>5</v>
      </c>
      <c r="B84" t="s">
        <v>9</v>
      </c>
      <c r="C84" t="s">
        <v>11</v>
      </c>
      <c r="D84">
        <v>11</v>
      </c>
      <c r="E84">
        <v>135</v>
      </c>
    </row>
    <row r="85" spans="1:5" outlineLevel="2" x14ac:dyDescent="0.2">
      <c r="A85" t="s">
        <v>5</v>
      </c>
      <c r="B85" t="s">
        <v>9</v>
      </c>
      <c r="C85" t="s">
        <v>13</v>
      </c>
      <c r="D85">
        <v>11</v>
      </c>
      <c r="E85">
        <v>282</v>
      </c>
    </row>
    <row r="86" spans="1:5" outlineLevel="2" x14ac:dyDescent="0.2">
      <c r="A86" t="s">
        <v>5</v>
      </c>
      <c r="B86" t="s">
        <v>9</v>
      </c>
      <c r="C86" t="s">
        <v>12</v>
      </c>
      <c r="D86">
        <v>12</v>
      </c>
      <c r="E86">
        <v>404</v>
      </c>
    </row>
    <row r="87" spans="1:5" outlineLevel="1" x14ac:dyDescent="0.2">
      <c r="B87" s="37" t="s">
        <v>101</v>
      </c>
      <c r="E87">
        <f>SUBTOTAL(9,E84:E86)</f>
        <v>821</v>
      </c>
    </row>
    <row r="88" spans="1:5" outlineLevel="2" x14ac:dyDescent="0.2">
      <c r="A88" t="s">
        <v>2</v>
      </c>
      <c r="B88" t="s">
        <v>6</v>
      </c>
      <c r="C88" t="s">
        <v>13</v>
      </c>
      <c r="D88">
        <v>11</v>
      </c>
      <c r="E88">
        <v>355</v>
      </c>
    </row>
    <row r="89" spans="1:5" outlineLevel="2" x14ac:dyDescent="0.2">
      <c r="A89" t="s">
        <v>2</v>
      </c>
      <c r="B89" t="s">
        <v>6</v>
      </c>
      <c r="C89" t="s">
        <v>11</v>
      </c>
      <c r="D89">
        <v>12</v>
      </c>
      <c r="E89">
        <v>159</v>
      </c>
    </row>
    <row r="90" spans="1:5" outlineLevel="2" x14ac:dyDescent="0.2">
      <c r="A90" t="s">
        <v>2</v>
      </c>
      <c r="B90" t="s">
        <v>6</v>
      </c>
      <c r="C90" t="s">
        <v>12</v>
      </c>
      <c r="D90">
        <v>14</v>
      </c>
      <c r="E90">
        <v>355</v>
      </c>
    </row>
    <row r="91" spans="1:5" outlineLevel="1" x14ac:dyDescent="0.2">
      <c r="B91" s="37" t="s">
        <v>97</v>
      </c>
      <c r="E91">
        <f>SUBTOTAL(9,E88:E90)</f>
        <v>869</v>
      </c>
    </row>
    <row r="92" spans="1:5" outlineLevel="2" x14ac:dyDescent="0.2">
      <c r="A92" t="s">
        <v>2</v>
      </c>
      <c r="B92" t="s">
        <v>7</v>
      </c>
      <c r="C92" t="s">
        <v>12</v>
      </c>
      <c r="D92">
        <v>7</v>
      </c>
      <c r="E92">
        <v>457</v>
      </c>
    </row>
    <row r="93" spans="1:5" outlineLevel="2" x14ac:dyDescent="0.2">
      <c r="A93" t="s">
        <v>2</v>
      </c>
      <c r="B93" t="s">
        <v>7</v>
      </c>
      <c r="C93" t="s">
        <v>13</v>
      </c>
      <c r="D93">
        <v>11</v>
      </c>
      <c r="E93">
        <v>380</v>
      </c>
    </row>
    <row r="94" spans="1:5" outlineLevel="2" x14ac:dyDescent="0.2">
      <c r="A94" t="s">
        <v>2</v>
      </c>
      <c r="B94" t="s">
        <v>7</v>
      </c>
      <c r="C94" t="s">
        <v>11</v>
      </c>
      <c r="D94">
        <v>14</v>
      </c>
      <c r="E94">
        <v>135</v>
      </c>
    </row>
    <row r="95" spans="1:5" outlineLevel="1" x14ac:dyDescent="0.2">
      <c r="B95" s="37" t="s">
        <v>98</v>
      </c>
      <c r="E95">
        <f>SUBTOTAL(9,E92:E94)</f>
        <v>972</v>
      </c>
    </row>
    <row r="96" spans="1:5" outlineLevel="2" x14ac:dyDescent="0.2">
      <c r="A96" t="s">
        <v>2</v>
      </c>
      <c r="B96" t="s">
        <v>10</v>
      </c>
      <c r="C96" t="s">
        <v>11</v>
      </c>
      <c r="D96">
        <v>7</v>
      </c>
      <c r="E96">
        <v>155</v>
      </c>
    </row>
    <row r="97" spans="1:5" outlineLevel="2" x14ac:dyDescent="0.2">
      <c r="A97" t="s">
        <v>2</v>
      </c>
      <c r="B97" t="s">
        <v>10</v>
      </c>
      <c r="C97" t="s">
        <v>12</v>
      </c>
      <c r="D97">
        <v>11</v>
      </c>
      <c r="E97">
        <v>285</v>
      </c>
    </row>
    <row r="98" spans="1:5" outlineLevel="2" x14ac:dyDescent="0.2">
      <c r="A98" t="s">
        <v>2</v>
      </c>
      <c r="B98" t="s">
        <v>10</v>
      </c>
      <c r="C98" t="s">
        <v>13</v>
      </c>
      <c r="D98">
        <v>12</v>
      </c>
      <c r="E98">
        <v>272</v>
      </c>
    </row>
    <row r="99" spans="1:5" outlineLevel="1" x14ac:dyDescent="0.2">
      <c r="B99" s="37" t="s">
        <v>99</v>
      </c>
      <c r="E99">
        <f>SUBTOTAL(9,E96:E98)</f>
        <v>712</v>
      </c>
    </row>
    <row r="100" spans="1:5" outlineLevel="2" x14ac:dyDescent="0.2">
      <c r="A100" t="s">
        <v>2</v>
      </c>
      <c r="B100" t="s">
        <v>8</v>
      </c>
      <c r="C100" t="s">
        <v>13</v>
      </c>
      <c r="D100">
        <v>7</v>
      </c>
      <c r="E100">
        <v>443</v>
      </c>
    </row>
    <row r="101" spans="1:5" outlineLevel="2" x14ac:dyDescent="0.2">
      <c r="A101" t="s">
        <v>2</v>
      </c>
      <c r="B101" t="s">
        <v>8</v>
      </c>
      <c r="C101" t="s">
        <v>12</v>
      </c>
      <c r="D101">
        <v>14</v>
      </c>
      <c r="E101">
        <v>182</v>
      </c>
    </row>
    <row r="102" spans="1:5" outlineLevel="2" x14ac:dyDescent="0.2">
      <c r="A102" t="s">
        <v>2</v>
      </c>
      <c r="B102" t="s">
        <v>8</v>
      </c>
      <c r="C102" t="s">
        <v>11</v>
      </c>
      <c r="D102">
        <v>14</v>
      </c>
      <c r="E102">
        <v>356</v>
      </c>
    </row>
    <row r="103" spans="1:5" outlineLevel="1" x14ac:dyDescent="0.2">
      <c r="B103" s="37" t="s">
        <v>100</v>
      </c>
      <c r="E103">
        <f>SUBTOTAL(9,E100:E102)</f>
        <v>981</v>
      </c>
    </row>
    <row r="104" spans="1:5" outlineLevel="2" x14ac:dyDescent="0.2">
      <c r="A104" t="s">
        <v>2</v>
      </c>
      <c r="B104" t="s">
        <v>9</v>
      </c>
      <c r="C104" t="s">
        <v>13</v>
      </c>
      <c r="D104">
        <v>7</v>
      </c>
      <c r="E104">
        <v>301</v>
      </c>
    </row>
    <row r="105" spans="1:5" outlineLevel="2" x14ac:dyDescent="0.2">
      <c r="A105" t="s">
        <v>2</v>
      </c>
      <c r="B105" t="s">
        <v>9</v>
      </c>
      <c r="C105" t="s">
        <v>12</v>
      </c>
      <c r="D105">
        <v>14</v>
      </c>
      <c r="E105">
        <v>180</v>
      </c>
    </row>
    <row r="106" spans="1:5" outlineLevel="2" x14ac:dyDescent="0.2">
      <c r="A106" t="s">
        <v>2</v>
      </c>
      <c r="B106" t="s">
        <v>9</v>
      </c>
      <c r="C106" t="s">
        <v>11</v>
      </c>
      <c r="D106">
        <v>14</v>
      </c>
      <c r="E106">
        <v>383</v>
      </c>
    </row>
    <row r="107" spans="1:5" outlineLevel="1" x14ac:dyDescent="0.2">
      <c r="B107" s="37" t="s">
        <v>101</v>
      </c>
      <c r="E107">
        <f>SUBTOTAL(9,E104:E106)</f>
        <v>864</v>
      </c>
    </row>
    <row r="108" spans="1:5" outlineLevel="2" x14ac:dyDescent="0.2">
      <c r="A108" t="s">
        <v>4</v>
      </c>
      <c r="B108" t="s">
        <v>6</v>
      </c>
      <c r="C108" t="s">
        <v>13</v>
      </c>
      <c r="D108">
        <v>7</v>
      </c>
      <c r="E108">
        <v>426</v>
      </c>
    </row>
    <row r="109" spans="1:5" outlineLevel="2" x14ac:dyDescent="0.2">
      <c r="A109" t="s">
        <v>4</v>
      </c>
      <c r="B109" t="s">
        <v>6</v>
      </c>
      <c r="C109" t="s">
        <v>12</v>
      </c>
      <c r="D109">
        <v>12</v>
      </c>
      <c r="E109">
        <v>377</v>
      </c>
    </row>
    <row r="110" spans="1:5" outlineLevel="1" x14ac:dyDescent="0.2">
      <c r="B110" s="37" t="s">
        <v>97</v>
      </c>
      <c r="E110">
        <f>SUBTOTAL(9,E108:E109)</f>
        <v>803</v>
      </c>
    </row>
    <row r="111" spans="1:5" outlineLevel="2" x14ac:dyDescent="0.2">
      <c r="A111" t="s">
        <v>4</v>
      </c>
      <c r="B111" t="s">
        <v>7</v>
      </c>
      <c r="C111" t="s">
        <v>12</v>
      </c>
      <c r="D111">
        <v>7</v>
      </c>
      <c r="E111">
        <v>286</v>
      </c>
    </row>
    <row r="112" spans="1:5" outlineLevel="2" x14ac:dyDescent="0.2">
      <c r="A112" t="s">
        <v>4</v>
      </c>
      <c r="B112" t="s">
        <v>7</v>
      </c>
      <c r="C112" t="s">
        <v>13</v>
      </c>
      <c r="D112">
        <v>11</v>
      </c>
      <c r="E112">
        <v>316</v>
      </c>
    </row>
    <row r="113" spans="1:5" outlineLevel="2" x14ac:dyDescent="0.2">
      <c r="A113" t="s">
        <v>4</v>
      </c>
      <c r="B113" t="s">
        <v>7</v>
      </c>
      <c r="C113" t="s">
        <v>11</v>
      </c>
      <c r="D113">
        <v>14</v>
      </c>
      <c r="E113">
        <v>237</v>
      </c>
    </row>
    <row r="114" spans="1:5" outlineLevel="1" x14ac:dyDescent="0.2">
      <c r="B114" s="37" t="s">
        <v>98</v>
      </c>
      <c r="E114">
        <f>SUBTOTAL(9,E111:E113)</f>
        <v>839</v>
      </c>
    </row>
    <row r="115" spans="1:5" outlineLevel="2" x14ac:dyDescent="0.2">
      <c r="A115" t="s">
        <v>4</v>
      </c>
      <c r="B115" t="s">
        <v>10</v>
      </c>
      <c r="C115" t="s">
        <v>13</v>
      </c>
      <c r="D115">
        <v>7</v>
      </c>
      <c r="E115">
        <v>258</v>
      </c>
    </row>
    <row r="116" spans="1:5" outlineLevel="2" x14ac:dyDescent="0.2">
      <c r="A116" t="s">
        <v>4</v>
      </c>
      <c r="B116" t="s">
        <v>10</v>
      </c>
      <c r="C116" t="s">
        <v>12</v>
      </c>
      <c r="D116">
        <v>12</v>
      </c>
      <c r="E116">
        <v>290</v>
      </c>
    </row>
    <row r="117" spans="1:5" outlineLevel="2" x14ac:dyDescent="0.2">
      <c r="A117" t="s">
        <v>4</v>
      </c>
      <c r="B117" t="s">
        <v>10</v>
      </c>
      <c r="C117" t="s">
        <v>11</v>
      </c>
      <c r="D117">
        <v>12</v>
      </c>
      <c r="E117">
        <v>483</v>
      </c>
    </row>
    <row r="118" spans="1:5" outlineLevel="1" x14ac:dyDescent="0.2">
      <c r="B118" s="37" t="s">
        <v>99</v>
      </c>
      <c r="E118">
        <f>SUBTOTAL(9,E115:E117)</f>
        <v>1031</v>
      </c>
    </row>
    <row r="119" spans="1:5" outlineLevel="2" x14ac:dyDescent="0.2">
      <c r="A119" t="s">
        <v>4</v>
      </c>
      <c r="B119" t="s">
        <v>8</v>
      </c>
      <c r="C119" t="s">
        <v>13</v>
      </c>
      <c r="D119">
        <v>7</v>
      </c>
      <c r="E119">
        <v>151</v>
      </c>
    </row>
    <row r="120" spans="1:5" outlineLevel="2" x14ac:dyDescent="0.2">
      <c r="A120" t="s">
        <v>4</v>
      </c>
      <c r="B120" t="s">
        <v>8</v>
      </c>
      <c r="C120" t="s">
        <v>12</v>
      </c>
      <c r="D120">
        <v>12</v>
      </c>
      <c r="E120">
        <v>289</v>
      </c>
    </row>
    <row r="121" spans="1:5" outlineLevel="2" x14ac:dyDescent="0.2">
      <c r="A121" t="s">
        <v>4</v>
      </c>
      <c r="B121" t="s">
        <v>8</v>
      </c>
      <c r="C121" t="s">
        <v>11</v>
      </c>
      <c r="D121">
        <v>12</v>
      </c>
      <c r="E121">
        <v>136</v>
      </c>
    </row>
    <row r="122" spans="1:5" outlineLevel="1" x14ac:dyDescent="0.2">
      <c r="B122" s="37" t="s">
        <v>100</v>
      </c>
      <c r="E122">
        <f>SUBTOTAL(9,E119:E121)</f>
        <v>576</v>
      </c>
    </row>
    <row r="123" spans="1:5" outlineLevel="2" x14ac:dyDescent="0.2">
      <c r="A123" t="s">
        <v>4</v>
      </c>
      <c r="B123" t="s">
        <v>9</v>
      </c>
      <c r="C123" t="s">
        <v>12</v>
      </c>
      <c r="D123">
        <v>7</v>
      </c>
      <c r="E123">
        <v>143</v>
      </c>
    </row>
    <row r="124" spans="1:5" outlineLevel="2" x14ac:dyDescent="0.2">
      <c r="A124" t="s">
        <v>4</v>
      </c>
      <c r="B124" t="s">
        <v>9</v>
      </c>
      <c r="C124" t="s">
        <v>13</v>
      </c>
      <c r="D124">
        <v>11</v>
      </c>
      <c r="E124">
        <v>351</v>
      </c>
    </row>
    <row r="125" spans="1:5" outlineLevel="2" x14ac:dyDescent="0.2">
      <c r="A125" t="s">
        <v>4</v>
      </c>
      <c r="B125" t="s">
        <v>9</v>
      </c>
      <c r="C125" t="s">
        <v>11</v>
      </c>
      <c r="D125">
        <v>14</v>
      </c>
      <c r="E125">
        <v>352</v>
      </c>
    </row>
    <row r="126" spans="1:5" outlineLevel="1" x14ac:dyDescent="0.2">
      <c r="B126" s="37" t="s">
        <v>101</v>
      </c>
      <c r="E126">
        <f>SUBTOTAL(9,E123:E125)</f>
        <v>846</v>
      </c>
    </row>
    <row r="127" spans="1:5" x14ac:dyDescent="0.2">
      <c r="B127" s="37" t="s">
        <v>78</v>
      </c>
      <c r="E127">
        <f>SUBTOTAL(9,E8:E125)</f>
        <v>27273</v>
      </c>
    </row>
  </sheetData>
  <sortState xmlns:xlrd2="http://schemas.microsoft.com/office/spreadsheetml/2017/richdata2" ref="A8:E125">
    <sortCondition ref="A8:A125"/>
    <sortCondition ref="B8:B125"/>
  </sortState>
  <phoneticPr fontId="0" type="noConversion"/>
  <pageMargins left="0.7" right="0.7" top="0.78740157499999996" bottom="0.78740157499999996" header="0.3" footer="0.3"/>
  <pageSetup paperSize="9" orientation="portrait" r:id="rId1"/>
  <rowBreaks count="30" manualBreakCount="30">
    <brk id="11" max="16383" man="1"/>
    <brk id="15" max="16383" man="1"/>
    <brk id="19" max="16383" man="1"/>
    <brk id="23" max="16383" man="1"/>
    <brk id="27" max="16383" man="1"/>
    <brk id="31" max="16383" man="1"/>
    <brk id="35" max="16383" man="1"/>
    <brk id="39" max="16383" man="1"/>
    <brk id="43" max="16383" man="1"/>
    <brk id="47" max="16383" man="1"/>
    <brk id="51" max="16383" man="1"/>
    <brk id="55" max="16383" man="1"/>
    <brk id="59" max="16383" man="1"/>
    <brk id="63" max="16383" man="1"/>
    <brk id="67" max="16383" man="1"/>
    <brk id="71" max="16383" man="1"/>
    <brk id="75" max="16383" man="1"/>
    <brk id="79" max="16383" man="1"/>
    <brk id="83" max="16383" man="1"/>
    <brk id="87" max="16383" man="1"/>
    <brk id="91" max="16383" man="1"/>
    <brk id="95" max="16383" man="1"/>
    <brk id="99" max="16383" man="1"/>
    <brk id="103" max="16383" man="1"/>
    <brk id="107" max="16383" man="1"/>
    <brk id="110" max="16383" man="1"/>
    <brk id="114" max="16383" man="1"/>
    <brk id="118" max="16383" man="1"/>
    <brk id="122" max="16383" man="1"/>
    <brk id="127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3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K16" sqref="K16"/>
    </sheetView>
  </sheetViews>
  <sheetFormatPr defaultRowHeight="12.75" outlineLevelRow="3" x14ac:dyDescent="0.2"/>
  <cols>
    <col min="3" max="3" width="13.28515625" bestFit="1" customWidth="1"/>
    <col min="4" max="4" width="17.42578125" customWidth="1"/>
    <col min="5" max="5" width="10.28515625" customWidth="1"/>
  </cols>
  <sheetData>
    <row r="1" spans="1:6" ht="18" x14ac:dyDescent="0.2">
      <c r="A1" s="11" t="s">
        <v>20</v>
      </c>
    </row>
    <row r="2" spans="1:6" ht="18" x14ac:dyDescent="0.25">
      <c r="A2" s="5"/>
    </row>
    <row r="3" spans="1:6" ht="18" x14ac:dyDescent="0.25">
      <c r="A3" s="2"/>
    </row>
    <row r="7" spans="1:6" s="6" customFormat="1" ht="15.75" x14ac:dyDescent="0.2">
      <c r="A7" s="7" t="s">
        <v>19</v>
      </c>
      <c r="B7" s="7" t="s">
        <v>17</v>
      </c>
      <c r="C7" s="7" t="s">
        <v>18</v>
      </c>
      <c r="D7" s="7" t="s">
        <v>14</v>
      </c>
      <c r="E7" s="7" t="s">
        <v>21</v>
      </c>
      <c r="F7" s="7" t="s">
        <v>22</v>
      </c>
    </row>
    <row r="8" spans="1:6" outlineLevel="3" x14ac:dyDescent="0.2">
      <c r="A8" t="s">
        <v>1</v>
      </c>
      <c r="B8" t="s">
        <v>6</v>
      </c>
      <c r="C8" t="s">
        <v>11</v>
      </c>
      <c r="D8">
        <v>7</v>
      </c>
      <c r="E8">
        <v>120</v>
      </c>
      <c r="F8">
        <v>107</v>
      </c>
    </row>
    <row r="9" spans="1:6" outlineLevel="3" x14ac:dyDescent="0.2">
      <c r="A9" t="s">
        <v>1</v>
      </c>
      <c r="B9" t="s">
        <v>6</v>
      </c>
      <c r="C9" t="s">
        <v>13</v>
      </c>
      <c r="D9">
        <v>11</v>
      </c>
      <c r="E9">
        <v>391</v>
      </c>
      <c r="F9">
        <v>177</v>
      </c>
    </row>
    <row r="10" spans="1:6" outlineLevel="3" x14ac:dyDescent="0.2">
      <c r="A10" t="s">
        <v>1</v>
      </c>
      <c r="B10" t="s">
        <v>6</v>
      </c>
      <c r="C10" t="s">
        <v>12</v>
      </c>
      <c r="D10">
        <v>14</v>
      </c>
      <c r="E10">
        <v>129</v>
      </c>
      <c r="F10">
        <v>188</v>
      </c>
    </row>
    <row r="11" spans="1:6" outlineLevel="2" x14ac:dyDescent="0.2">
      <c r="B11" s="37" t="s">
        <v>97</v>
      </c>
      <c r="E11">
        <f>SUBTOTAL(9,E8:E10)</f>
        <v>640</v>
      </c>
      <c r="F11">
        <f>SUBTOTAL(9,F8:F10)</f>
        <v>472</v>
      </c>
    </row>
    <row r="12" spans="1:6" outlineLevel="3" x14ac:dyDescent="0.2">
      <c r="A12" t="s">
        <v>1</v>
      </c>
      <c r="B12" t="s">
        <v>7</v>
      </c>
      <c r="C12" t="s">
        <v>12</v>
      </c>
      <c r="D12">
        <v>14</v>
      </c>
      <c r="E12">
        <v>282</v>
      </c>
      <c r="F12">
        <v>160</v>
      </c>
    </row>
    <row r="13" spans="1:6" outlineLevel="3" x14ac:dyDescent="0.2">
      <c r="A13" t="s">
        <v>1</v>
      </c>
      <c r="B13" t="s">
        <v>7</v>
      </c>
      <c r="C13" t="s">
        <v>11</v>
      </c>
      <c r="D13">
        <v>14</v>
      </c>
      <c r="E13">
        <v>318</v>
      </c>
      <c r="F13">
        <v>138</v>
      </c>
    </row>
    <row r="14" spans="1:6" outlineLevel="3" x14ac:dyDescent="0.2">
      <c r="A14" t="s">
        <v>1</v>
      </c>
      <c r="B14" t="s">
        <v>7</v>
      </c>
      <c r="C14" t="s">
        <v>13</v>
      </c>
      <c r="D14">
        <v>14</v>
      </c>
      <c r="E14">
        <v>405</v>
      </c>
      <c r="F14">
        <v>129</v>
      </c>
    </row>
    <row r="15" spans="1:6" outlineLevel="2" x14ac:dyDescent="0.2">
      <c r="B15" s="37" t="s">
        <v>98</v>
      </c>
      <c r="E15">
        <f>SUBTOTAL(9,E12:E14)</f>
        <v>1005</v>
      </c>
      <c r="F15">
        <f>SUBTOTAL(9,F12:F14)</f>
        <v>427</v>
      </c>
    </row>
    <row r="16" spans="1:6" outlineLevel="3" x14ac:dyDescent="0.2">
      <c r="A16" t="s">
        <v>1</v>
      </c>
      <c r="B16" t="s">
        <v>10</v>
      </c>
      <c r="C16" t="s">
        <v>13</v>
      </c>
      <c r="D16">
        <v>7</v>
      </c>
      <c r="E16">
        <v>447</v>
      </c>
      <c r="F16">
        <v>109</v>
      </c>
    </row>
    <row r="17" spans="1:6" outlineLevel="3" x14ac:dyDescent="0.2">
      <c r="A17" t="s">
        <v>1</v>
      </c>
      <c r="B17" t="s">
        <v>10</v>
      </c>
      <c r="C17" t="s">
        <v>11</v>
      </c>
      <c r="D17">
        <v>11</v>
      </c>
      <c r="E17">
        <v>274</v>
      </c>
      <c r="F17">
        <v>122</v>
      </c>
    </row>
    <row r="18" spans="1:6" outlineLevel="3" x14ac:dyDescent="0.2">
      <c r="A18" t="s">
        <v>1</v>
      </c>
      <c r="B18" t="s">
        <v>10</v>
      </c>
      <c r="C18" t="s">
        <v>12</v>
      </c>
      <c r="D18">
        <v>12</v>
      </c>
      <c r="E18">
        <v>349</v>
      </c>
      <c r="F18">
        <v>165</v>
      </c>
    </row>
    <row r="19" spans="1:6" outlineLevel="2" x14ac:dyDescent="0.2">
      <c r="B19" s="37" t="s">
        <v>99</v>
      </c>
      <c r="E19">
        <f>SUBTOTAL(9,E16:E18)</f>
        <v>1070</v>
      </c>
      <c r="F19">
        <f>SUBTOTAL(9,F16:F18)</f>
        <v>396</v>
      </c>
    </row>
    <row r="20" spans="1:6" outlineLevel="3" x14ac:dyDescent="0.2">
      <c r="A20" t="s">
        <v>1</v>
      </c>
      <c r="B20" t="s">
        <v>8</v>
      </c>
      <c r="C20" t="s">
        <v>12</v>
      </c>
      <c r="D20">
        <v>7</v>
      </c>
      <c r="E20">
        <v>272</v>
      </c>
      <c r="F20">
        <v>113</v>
      </c>
    </row>
    <row r="21" spans="1:6" outlineLevel="3" x14ac:dyDescent="0.2">
      <c r="A21" t="s">
        <v>1</v>
      </c>
      <c r="B21" t="s">
        <v>8</v>
      </c>
      <c r="C21" t="s">
        <v>11</v>
      </c>
      <c r="D21">
        <v>7</v>
      </c>
      <c r="E21">
        <v>412</v>
      </c>
      <c r="F21">
        <v>128</v>
      </c>
    </row>
    <row r="22" spans="1:6" outlineLevel="3" x14ac:dyDescent="0.2">
      <c r="A22" t="s">
        <v>1</v>
      </c>
      <c r="B22" t="s">
        <v>8</v>
      </c>
      <c r="C22" t="s">
        <v>13</v>
      </c>
      <c r="D22">
        <v>14</v>
      </c>
      <c r="E22">
        <v>415</v>
      </c>
      <c r="F22">
        <v>150</v>
      </c>
    </row>
    <row r="23" spans="1:6" outlineLevel="2" x14ac:dyDescent="0.2">
      <c r="B23" s="37" t="s">
        <v>100</v>
      </c>
      <c r="E23">
        <f>SUBTOTAL(9,E20:E22)</f>
        <v>1099</v>
      </c>
      <c r="F23">
        <f>SUBTOTAL(9,F20:F22)</f>
        <v>391</v>
      </c>
    </row>
    <row r="24" spans="1:6" outlineLevel="3" x14ac:dyDescent="0.2">
      <c r="A24" t="s">
        <v>1</v>
      </c>
      <c r="B24" t="s">
        <v>9</v>
      </c>
      <c r="C24" t="s">
        <v>11</v>
      </c>
      <c r="D24">
        <v>7</v>
      </c>
      <c r="E24">
        <v>122</v>
      </c>
      <c r="F24">
        <v>136</v>
      </c>
    </row>
    <row r="25" spans="1:6" outlineLevel="3" x14ac:dyDescent="0.2">
      <c r="A25" t="s">
        <v>1</v>
      </c>
      <c r="B25" t="s">
        <v>9</v>
      </c>
      <c r="C25" t="s">
        <v>13</v>
      </c>
      <c r="D25">
        <v>7</v>
      </c>
      <c r="E25">
        <v>260</v>
      </c>
      <c r="F25">
        <v>124</v>
      </c>
    </row>
    <row r="26" spans="1:6" outlineLevel="3" x14ac:dyDescent="0.2">
      <c r="A26" t="s">
        <v>1</v>
      </c>
      <c r="B26" t="s">
        <v>9</v>
      </c>
      <c r="C26" t="s">
        <v>12</v>
      </c>
      <c r="D26">
        <v>12</v>
      </c>
      <c r="E26">
        <v>286</v>
      </c>
      <c r="F26">
        <v>197</v>
      </c>
    </row>
    <row r="27" spans="1:6" outlineLevel="2" x14ac:dyDescent="0.2">
      <c r="B27" s="37" t="s">
        <v>101</v>
      </c>
      <c r="E27">
        <f>SUBTOTAL(9,E24:E26)</f>
        <v>668</v>
      </c>
      <c r="F27">
        <f>SUBTOTAL(9,F24:F26)</f>
        <v>457</v>
      </c>
    </row>
    <row r="28" spans="1:6" outlineLevel="1" x14ac:dyDescent="0.2">
      <c r="A28" s="37" t="s">
        <v>91</v>
      </c>
      <c r="E28">
        <f>SUBTOTAL(9,E8:E26)</f>
        <v>4482</v>
      </c>
      <c r="F28">
        <f>SUBTOTAL(9,F8:F26)</f>
        <v>2143</v>
      </c>
    </row>
    <row r="29" spans="1:6" outlineLevel="3" x14ac:dyDescent="0.2">
      <c r="A29" t="s">
        <v>3</v>
      </c>
      <c r="B29" t="s">
        <v>6</v>
      </c>
      <c r="C29" t="s">
        <v>11</v>
      </c>
      <c r="D29">
        <v>7</v>
      </c>
      <c r="E29">
        <v>178</v>
      </c>
      <c r="F29">
        <v>117</v>
      </c>
    </row>
    <row r="30" spans="1:6" outlineLevel="3" x14ac:dyDescent="0.2">
      <c r="A30" t="s">
        <v>3</v>
      </c>
      <c r="B30" t="s">
        <v>6</v>
      </c>
      <c r="C30" t="s">
        <v>13</v>
      </c>
      <c r="D30">
        <v>7</v>
      </c>
      <c r="E30">
        <v>178</v>
      </c>
      <c r="F30">
        <v>128</v>
      </c>
    </row>
    <row r="31" spans="1:6" outlineLevel="3" x14ac:dyDescent="0.2">
      <c r="A31" t="s">
        <v>3</v>
      </c>
      <c r="B31" t="s">
        <v>6</v>
      </c>
      <c r="C31" t="s">
        <v>12</v>
      </c>
      <c r="D31">
        <v>14</v>
      </c>
      <c r="E31">
        <v>316</v>
      </c>
      <c r="F31">
        <v>169</v>
      </c>
    </row>
    <row r="32" spans="1:6" outlineLevel="2" x14ac:dyDescent="0.2">
      <c r="B32" s="37" t="s">
        <v>97</v>
      </c>
      <c r="E32">
        <f>SUBTOTAL(9,E29:E31)</f>
        <v>672</v>
      </c>
      <c r="F32">
        <f>SUBTOTAL(9,F29:F31)</f>
        <v>414</v>
      </c>
    </row>
    <row r="33" spans="1:6" outlineLevel="3" x14ac:dyDescent="0.2">
      <c r="A33" t="s">
        <v>3</v>
      </c>
      <c r="B33" t="s">
        <v>7</v>
      </c>
      <c r="C33" t="s">
        <v>12</v>
      </c>
      <c r="D33">
        <v>11</v>
      </c>
      <c r="E33">
        <v>206</v>
      </c>
      <c r="F33">
        <v>184</v>
      </c>
    </row>
    <row r="34" spans="1:6" outlineLevel="3" x14ac:dyDescent="0.2">
      <c r="A34" t="s">
        <v>3</v>
      </c>
      <c r="B34" t="s">
        <v>7</v>
      </c>
      <c r="C34" t="s">
        <v>13</v>
      </c>
      <c r="D34">
        <v>11</v>
      </c>
      <c r="E34">
        <v>267</v>
      </c>
      <c r="F34">
        <v>108</v>
      </c>
    </row>
    <row r="35" spans="1:6" outlineLevel="3" x14ac:dyDescent="0.2">
      <c r="A35" t="s">
        <v>3</v>
      </c>
      <c r="B35" t="s">
        <v>7</v>
      </c>
      <c r="C35" t="s">
        <v>11</v>
      </c>
      <c r="D35">
        <v>12</v>
      </c>
      <c r="E35">
        <v>446</v>
      </c>
      <c r="F35">
        <v>162</v>
      </c>
    </row>
    <row r="36" spans="1:6" outlineLevel="2" x14ac:dyDescent="0.2">
      <c r="B36" s="37" t="s">
        <v>98</v>
      </c>
      <c r="E36">
        <f>SUBTOTAL(9,E33:E35)</f>
        <v>919</v>
      </c>
      <c r="F36">
        <f>SUBTOTAL(9,F33:F35)</f>
        <v>454</v>
      </c>
    </row>
    <row r="37" spans="1:6" outlineLevel="3" x14ac:dyDescent="0.2">
      <c r="A37" t="s">
        <v>3</v>
      </c>
      <c r="B37" t="s">
        <v>10</v>
      </c>
      <c r="C37" t="s">
        <v>13</v>
      </c>
      <c r="D37">
        <v>7</v>
      </c>
      <c r="E37">
        <v>332</v>
      </c>
      <c r="F37">
        <v>119</v>
      </c>
    </row>
    <row r="38" spans="1:6" outlineLevel="3" x14ac:dyDescent="0.2">
      <c r="A38" t="s">
        <v>3</v>
      </c>
      <c r="B38" t="s">
        <v>10</v>
      </c>
      <c r="C38" t="s">
        <v>12</v>
      </c>
      <c r="D38">
        <v>12</v>
      </c>
      <c r="E38">
        <v>345</v>
      </c>
      <c r="F38">
        <v>116</v>
      </c>
    </row>
    <row r="39" spans="1:6" outlineLevel="3" x14ac:dyDescent="0.2">
      <c r="A39" t="s">
        <v>3</v>
      </c>
      <c r="B39" t="s">
        <v>10</v>
      </c>
      <c r="C39" t="s">
        <v>11</v>
      </c>
      <c r="D39">
        <v>14</v>
      </c>
      <c r="E39">
        <v>354</v>
      </c>
      <c r="F39">
        <v>153</v>
      </c>
    </row>
    <row r="40" spans="1:6" outlineLevel="2" x14ac:dyDescent="0.2">
      <c r="B40" s="37" t="s">
        <v>99</v>
      </c>
      <c r="E40">
        <f>SUBTOTAL(9,E37:E39)</f>
        <v>1031</v>
      </c>
      <c r="F40">
        <f>SUBTOTAL(9,F37:F39)</f>
        <v>388</v>
      </c>
    </row>
    <row r="41" spans="1:6" outlineLevel="3" x14ac:dyDescent="0.2">
      <c r="A41" t="s">
        <v>3</v>
      </c>
      <c r="B41" t="s">
        <v>8</v>
      </c>
      <c r="C41" t="s">
        <v>12</v>
      </c>
      <c r="D41">
        <v>11</v>
      </c>
      <c r="E41">
        <v>134</v>
      </c>
      <c r="F41">
        <v>152</v>
      </c>
    </row>
    <row r="42" spans="1:6" outlineLevel="3" x14ac:dyDescent="0.2">
      <c r="A42" t="s">
        <v>3</v>
      </c>
      <c r="B42" t="s">
        <v>8</v>
      </c>
      <c r="C42" t="s">
        <v>13</v>
      </c>
      <c r="D42">
        <v>11</v>
      </c>
      <c r="E42">
        <v>385</v>
      </c>
      <c r="F42">
        <v>123</v>
      </c>
    </row>
    <row r="43" spans="1:6" outlineLevel="3" x14ac:dyDescent="0.2">
      <c r="A43" t="s">
        <v>3</v>
      </c>
      <c r="B43" t="s">
        <v>8</v>
      </c>
      <c r="C43" t="s">
        <v>11</v>
      </c>
      <c r="D43">
        <v>12</v>
      </c>
      <c r="E43">
        <v>441</v>
      </c>
      <c r="F43">
        <v>145</v>
      </c>
    </row>
    <row r="44" spans="1:6" outlineLevel="2" x14ac:dyDescent="0.2">
      <c r="B44" s="37" t="s">
        <v>100</v>
      </c>
      <c r="E44">
        <f>SUBTOTAL(9,E41:E43)</f>
        <v>960</v>
      </c>
      <c r="F44">
        <f>SUBTOTAL(9,F41:F43)</f>
        <v>420</v>
      </c>
    </row>
    <row r="45" spans="1:6" outlineLevel="3" x14ac:dyDescent="0.2">
      <c r="A45" t="s">
        <v>3</v>
      </c>
      <c r="B45" t="s">
        <v>9</v>
      </c>
      <c r="C45" t="s">
        <v>12</v>
      </c>
      <c r="D45">
        <v>11</v>
      </c>
      <c r="E45">
        <v>170</v>
      </c>
      <c r="F45">
        <v>123</v>
      </c>
    </row>
    <row r="46" spans="1:6" outlineLevel="3" x14ac:dyDescent="0.2">
      <c r="A46" t="s">
        <v>3</v>
      </c>
      <c r="B46" t="s">
        <v>9</v>
      </c>
      <c r="C46" t="s">
        <v>13</v>
      </c>
      <c r="D46">
        <v>11</v>
      </c>
      <c r="E46">
        <v>432</v>
      </c>
      <c r="F46">
        <v>106</v>
      </c>
    </row>
    <row r="47" spans="1:6" outlineLevel="3" x14ac:dyDescent="0.2">
      <c r="A47" t="s">
        <v>3</v>
      </c>
      <c r="B47" t="s">
        <v>9</v>
      </c>
      <c r="C47" t="s">
        <v>11</v>
      </c>
      <c r="D47">
        <v>12</v>
      </c>
      <c r="E47">
        <v>124</v>
      </c>
      <c r="F47">
        <v>145</v>
      </c>
    </row>
    <row r="48" spans="1:6" outlineLevel="2" x14ac:dyDescent="0.2">
      <c r="B48" s="37" t="s">
        <v>101</v>
      </c>
      <c r="E48">
        <f>SUBTOTAL(9,E45:E47)</f>
        <v>726</v>
      </c>
      <c r="F48">
        <f>SUBTOTAL(9,F45:F47)</f>
        <v>374</v>
      </c>
    </row>
    <row r="49" spans="1:6" outlineLevel="1" x14ac:dyDescent="0.2">
      <c r="A49" s="37" t="s">
        <v>92</v>
      </c>
      <c r="E49">
        <f>SUBTOTAL(9,E29:E47)</f>
        <v>4308</v>
      </c>
      <c r="F49">
        <f>SUBTOTAL(9,F29:F47)</f>
        <v>2050</v>
      </c>
    </row>
    <row r="50" spans="1:6" outlineLevel="3" x14ac:dyDescent="0.2">
      <c r="A50" t="s">
        <v>0</v>
      </c>
      <c r="B50" t="s">
        <v>6</v>
      </c>
      <c r="C50" t="s">
        <v>13</v>
      </c>
      <c r="D50">
        <v>7</v>
      </c>
      <c r="E50">
        <v>471</v>
      </c>
      <c r="F50">
        <v>100</v>
      </c>
    </row>
    <row r="51" spans="1:6" outlineLevel="3" x14ac:dyDescent="0.2">
      <c r="A51" t="s">
        <v>0</v>
      </c>
      <c r="B51" t="s">
        <v>6</v>
      </c>
      <c r="C51" t="s">
        <v>11</v>
      </c>
      <c r="D51">
        <v>11</v>
      </c>
      <c r="E51">
        <v>489</v>
      </c>
      <c r="F51">
        <v>127</v>
      </c>
    </row>
    <row r="52" spans="1:6" outlineLevel="3" x14ac:dyDescent="0.2">
      <c r="A52" t="s">
        <v>0</v>
      </c>
      <c r="B52" t="s">
        <v>6</v>
      </c>
      <c r="C52" t="s">
        <v>12</v>
      </c>
      <c r="D52">
        <v>12</v>
      </c>
      <c r="E52">
        <v>460</v>
      </c>
      <c r="F52">
        <v>116</v>
      </c>
    </row>
    <row r="53" spans="1:6" outlineLevel="2" x14ac:dyDescent="0.2">
      <c r="B53" s="37" t="s">
        <v>97</v>
      </c>
      <c r="E53">
        <f>SUBTOTAL(9,E50:E52)</f>
        <v>1420</v>
      </c>
      <c r="F53">
        <f>SUBTOTAL(9,F50:F52)</f>
        <v>343</v>
      </c>
    </row>
    <row r="54" spans="1:6" outlineLevel="3" x14ac:dyDescent="0.2">
      <c r="A54" t="s">
        <v>0</v>
      </c>
      <c r="B54" t="s">
        <v>7</v>
      </c>
      <c r="C54" t="s">
        <v>12</v>
      </c>
      <c r="D54">
        <v>14</v>
      </c>
      <c r="E54">
        <v>232</v>
      </c>
      <c r="F54">
        <v>190</v>
      </c>
    </row>
    <row r="55" spans="1:6" outlineLevel="3" x14ac:dyDescent="0.2">
      <c r="A55" t="s">
        <v>0</v>
      </c>
      <c r="B55" t="s">
        <v>7</v>
      </c>
      <c r="C55" t="s">
        <v>11</v>
      </c>
      <c r="D55">
        <v>14</v>
      </c>
      <c r="E55">
        <v>260</v>
      </c>
      <c r="F55">
        <v>173</v>
      </c>
    </row>
    <row r="56" spans="1:6" outlineLevel="3" x14ac:dyDescent="0.2">
      <c r="A56" t="s">
        <v>0</v>
      </c>
      <c r="B56" t="s">
        <v>7</v>
      </c>
      <c r="C56" t="s">
        <v>13</v>
      </c>
      <c r="D56">
        <v>14</v>
      </c>
      <c r="E56">
        <v>491</v>
      </c>
      <c r="F56">
        <v>151</v>
      </c>
    </row>
    <row r="57" spans="1:6" outlineLevel="2" x14ac:dyDescent="0.2">
      <c r="B57" s="37" t="s">
        <v>98</v>
      </c>
      <c r="E57">
        <f>SUBTOTAL(9,E54:E56)</f>
        <v>983</v>
      </c>
      <c r="F57">
        <f>SUBTOTAL(9,F54:F56)</f>
        <v>514</v>
      </c>
    </row>
    <row r="58" spans="1:6" outlineLevel="3" x14ac:dyDescent="0.2">
      <c r="A58" t="s">
        <v>0</v>
      </c>
      <c r="B58" t="s">
        <v>10</v>
      </c>
      <c r="C58" t="s">
        <v>11</v>
      </c>
      <c r="D58">
        <v>11</v>
      </c>
      <c r="E58">
        <v>490</v>
      </c>
      <c r="F58">
        <v>137</v>
      </c>
    </row>
    <row r="59" spans="1:6" outlineLevel="3" x14ac:dyDescent="0.2">
      <c r="A59" t="s">
        <v>0</v>
      </c>
      <c r="B59" t="s">
        <v>10</v>
      </c>
      <c r="C59" t="s">
        <v>12</v>
      </c>
      <c r="D59">
        <v>12</v>
      </c>
      <c r="E59">
        <v>259</v>
      </c>
      <c r="F59">
        <v>186</v>
      </c>
    </row>
    <row r="60" spans="1:6" outlineLevel="3" x14ac:dyDescent="0.2">
      <c r="A60" t="s">
        <v>0</v>
      </c>
      <c r="B60" t="s">
        <v>10</v>
      </c>
      <c r="C60" t="s">
        <v>13</v>
      </c>
      <c r="D60">
        <v>12</v>
      </c>
      <c r="E60">
        <v>386</v>
      </c>
      <c r="F60">
        <v>181</v>
      </c>
    </row>
    <row r="61" spans="1:6" outlineLevel="2" x14ac:dyDescent="0.2">
      <c r="B61" s="37" t="s">
        <v>99</v>
      </c>
      <c r="E61">
        <f>SUBTOTAL(9,E58:E60)</f>
        <v>1135</v>
      </c>
      <c r="F61">
        <f>SUBTOTAL(9,F58:F60)</f>
        <v>504</v>
      </c>
    </row>
    <row r="62" spans="1:6" outlineLevel="3" x14ac:dyDescent="0.2">
      <c r="A62" t="s">
        <v>0</v>
      </c>
      <c r="B62" t="s">
        <v>8</v>
      </c>
      <c r="C62" t="s">
        <v>12</v>
      </c>
      <c r="D62">
        <v>14</v>
      </c>
      <c r="E62">
        <v>457</v>
      </c>
      <c r="F62">
        <v>124</v>
      </c>
    </row>
    <row r="63" spans="1:6" outlineLevel="3" x14ac:dyDescent="0.2">
      <c r="A63" t="s">
        <v>0</v>
      </c>
      <c r="B63" t="s">
        <v>8</v>
      </c>
      <c r="C63" t="s">
        <v>11</v>
      </c>
      <c r="D63">
        <v>14</v>
      </c>
      <c r="E63">
        <v>401</v>
      </c>
      <c r="F63">
        <v>125</v>
      </c>
    </row>
    <row r="64" spans="1:6" outlineLevel="3" x14ac:dyDescent="0.2">
      <c r="A64" t="s">
        <v>0</v>
      </c>
      <c r="B64" t="s">
        <v>8</v>
      </c>
      <c r="C64" t="s">
        <v>13</v>
      </c>
      <c r="D64">
        <v>14</v>
      </c>
      <c r="E64">
        <v>479</v>
      </c>
      <c r="F64">
        <v>185</v>
      </c>
    </row>
    <row r="65" spans="1:6" outlineLevel="2" x14ac:dyDescent="0.2">
      <c r="B65" s="37" t="s">
        <v>100</v>
      </c>
      <c r="E65">
        <f>SUBTOTAL(9,E62:E64)</f>
        <v>1337</v>
      </c>
      <c r="F65">
        <f>SUBTOTAL(9,F62:F64)</f>
        <v>434</v>
      </c>
    </row>
    <row r="66" spans="1:6" outlineLevel="3" x14ac:dyDescent="0.2">
      <c r="A66" t="s">
        <v>0</v>
      </c>
      <c r="B66" t="s">
        <v>9</v>
      </c>
      <c r="C66" t="s">
        <v>11</v>
      </c>
      <c r="D66">
        <v>11</v>
      </c>
      <c r="E66">
        <v>487</v>
      </c>
      <c r="F66">
        <v>107</v>
      </c>
    </row>
    <row r="67" spans="1:6" outlineLevel="3" x14ac:dyDescent="0.2">
      <c r="A67" t="s">
        <v>0</v>
      </c>
      <c r="B67" t="s">
        <v>9</v>
      </c>
      <c r="C67" t="s">
        <v>12</v>
      </c>
      <c r="D67">
        <v>12</v>
      </c>
      <c r="E67">
        <v>289</v>
      </c>
      <c r="F67">
        <v>181</v>
      </c>
    </row>
    <row r="68" spans="1:6" outlineLevel="3" x14ac:dyDescent="0.2">
      <c r="A68" t="s">
        <v>0</v>
      </c>
      <c r="B68" t="s">
        <v>9</v>
      </c>
      <c r="C68" t="s">
        <v>13</v>
      </c>
      <c r="D68">
        <v>14</v>
      </c>
      <c r="E68">
        <v>373</v>
      </c>
      <c r="F68">
        <v>126</v>
      </c>
    </row>
    <row r="69" spans="1:6" outlineLevel="2" x14ac:dyDescent="0.2">
      <c r="B69" s="37" t="s">
        <v>101</v>
      </c>
      <c r="E69">
        <f>SUBTOTAL(9,E66:E68)</f>
        <v>1149</v>
      </c>
      <c r="F69">
        <f>SUBTOTAL(9,F66:F68)</f>
        <v>414</v>
      </c>
    </row>
    <row r="70" spans="1:6" outlineLevel="1" x14ac:dyDescent="0.2">
      <c r="A70" s="37" t="s">
        <v>93</v>
      </c>
      <c r="E70">
        <f>SUBTOTAL(9,E50:E68)</f>
        <v>6024</v>
      </c>
      <c r="F70">
        <f>SUBTOTAL(9,F50:F68)</f>
        <v>2209</v>
      </c>
    </row>
    <row r="71" spans="1:6" outlineLevel="3" x14ac:dyDescent="0.2">
      <c r="A71" t="s">
        <v>5</v>
      </c>
      <c r="B71" t="s">
        <v>6</v>
      </c>
      <c r="C71" t="s">
        <v>11</v>
      </c>
      <c r="D71">
        <v>7</v>
      </c>
      <c r="E71">
        <v>157</v>
      </c>
      <c r="F71">
        <v>190</v>
      </c>
    </row>
    <row r="72" spans="1:6" outlineLevel="3" x14ac:dyDescent="0.2">
      <c r="A72" t="s">
        <v>5</v>
      </c>
      <c r="B72" t="s">
        <v>6</v>
      </c>
      <c r="C72" t="s">
        <v>12</v>
      </c>
      <c r="D72">
        <v>14</v>
      </c>
      <c r="E72">
        <v>416</v>
      </c>
      <c r="F72">
        <v>124</v>
      </c>
    </row>
    <row r="73" spans="1:6" outlineLevel="3" x14ac:dyDescent="0.2">
      <c r="A73" t="s">
        <v>5</v>
      </c>
      <c r="B73" t="s">
        <v>6</v>
      </c>
      <c r="C73" t="s">
        <v>13</v>
      </c>
      <c r="D73">
        <v>14</v>
      </c>
      <c r="E73">
        <v>193</v>
      </c>
      <c r="F73">
        <v>107</v>
      </c>
    </row>
    <row r="74" spans="1:6" outlineLevel="2" x14ac:dyDescent="0.2">
      <c r="B74" s="37" t="s">
        <v>97</v>
      </c>
      <c r="E74">
        <f>SUBTOTAL(9,E71:E73)</f>
        <v>766</v>
      </c>
      <c r="F74">
        <f>SUBTOTAL(9,F71:F73)</f>
        <v>421</v>
      </c>
    </row>
    <row r="75" spans="1:6" outlineLevel="3" x14ac:dyDescent="0.2">
      <c r="A75" t="s">
        <v>5</v>
      </c>
      <c r="B75" t="s">
        <v>7</v>
      </c>
      <c r="C75" t="s">
        <v>12</v>
      </c>
      <c r="D75">
        <v>7</v>
      </c>
      <c r="E75">
        <v>195</v>
      </c>
      <c r="F75">
        <v>189</v>
      </c>
    </row>
    <row r="76" spans="1:6" outlineLevel="3" x14ac:dyDescent="0.2">
      <c r="A76" t="s">
        <v>5</v>
      </c>
      <c r="B76" t="s">
        <v>7</v>
      </c>
      <c r="C76" t="s">
        <v>11</v>
      </c>
      <c r="D76">
        <v>7</v>
      </c>
      <c r="E76">
        <v>164</v>
      </c>
      <c r="F76">
        <v>186</v>
      </c>
    </row>
    <row r="77" spans="1:6" outlineLevel="3" x14ac:dyDescent="0.2">
      <c r="A77" t="s">
        <v>5</v>
      </c>
      <c r="B77" t="s">
        <v>7</v>
      </c>
      <c r="C77" t="s">
        <v>13</v>
      </c>
      <c r="D77">
        <v>14</v>
      </c>
      <c r="E77">
        <v>191</v>
      </c>
      <c r="F77">
        <v>161</v>
      </c>
    </row>
    <row r="78" spans="1:6" outlineLevel="2" x14ac:dyDescent="0.2">
      <c r="B78" s="37" t="s">
        <v>98</v>
      </c>
      <c r="E78">
        <f>SUBTOTAL(9,E75:E77)</f>
        <v>550</v>
      </c>
      <c r="F78">
        <f>SUBTOTAL(9,F75:F77)</f>
        <v>536</v>
      </c>
    </row>
    <row r="79" spans="1:6" outlineLevel="3" x14ac:dyDescent="0.2">
      <c r="A79" t="s">
        <v>5</v>
      </c>
      <c r="B79" t="s">
        <v>10</v>
      </c>
      <c r="C79" t="s">
        <v>13</v>
      </c>
      <c r="D79">
        <v>11</v>
      </c>
      <c r="E79">
        <v>422</v>
      </c>
      <c r="F79">
        <v>136</v>
      </c>
    </row>
    <row r="80" spans="1:6" outlineLevel="3" x14ac:dyDescent="0.2">
      <c r="A80" t="s">
        <v>5</v>
      </c>
      <c r="B80" t="s">
        <v>10</v>
      </c>
      <c r="C80" t="s">
        <v>11</v>
      </c>
      <c r="D80">
        <v>12</v>
      </c>
      <c r="E80">
        <v>235</v>
      </c>
      <c r="F80">
        <v>189</v>
      </c>
    </row>
    <row r="81" spans="1:6" outlineLevel="3" x14ac:dyDescent="0.2">
      <c r="A81" t="s">
        <v>5</v>
      </c>
      <c r="B81" t="s">
        <v>10</v>
      </c>
      <c r="C81" t="s">
        <v>12</v>
      </c>
      <c r="D81">
        <v>14</v>
      </c>
      <c r="E81">
        <v>324</v>
      </c>
      <c r="F81">
        <v>176</v>
      </c>
    </row>
    <row r="82" spans="1:6" outlineLevel="2" x14ac:dyDescent="0.2">
      <c r="B82" s="37" t="s">
        <v>99</v>
      </c>
      <c r="E82">
        <f>SUBTOTAL(9,E79:E81)</f>
        <v>981</v>
      </c>
      <c r="F82">
        <f>SUBTOTAL(9,F79:F81)</f>
        <v>501</v>
      </c>
    </row>
    <row r="83" spans="1:6" outlineLevel="3" x14ac:dyDescent="0.2">
      <c r="A83" t="s">
        <v>5</v>
      </c>
      <c r="B83" t="s">
        <v>8</v>
      </c>
      <c r="C83" t="s">
        <v>13</v>
      </c>
      <c r="D83">
        <v>7</v>
      </c>
      <c r="E83">
        <v>139</v>
      </c>
      <c r="F83">
        <v>144</v>
      </c>
    </row>
    <row r="84" spans="1:6" outlineLevel="3" x14ac:dyDescent="0.2">
      <c r="A84" t="s">
        <v>5</v>
      </c>
      <c r="B84" t="s">
        <v>8</v>
      </c>
      <c r="C84" t="s">
        <v>11</v>
      </c>
      <c r="D84">
        <v>11</v>
      </c>
      <c r="E84">
        <v>392</v>
      </c>
      <c r="F84">
        <v>105</v>
      </c>
    </row>
    <row r="85" spans="1:6" outlineLevel="3" x14ac:dyDescent="0.2">
      <c r="A85" t="s">
        <v>5</v>
      </c>
      <c r="B85" t="s">
        <v>8</v>
      </c>
      <c r="C85" t="s">
        <v>12</v>
      </c>
      <c r="D85">
        <v>12</v>
      </c>
      <c r="E85">
        <v>317</v>
      </c>
      <c r="F85">
        <v>138</v>
      </c>
    </row>
    <row r="86" spans="1:6" outlineLevel="2" x14ac:dyDescent="0.2">
      <c r="B86" s="37" t="s">
        <v>100</v>
      </c>
      <c r="E86">
        <f>SUBTOTAL(9,E83:E85)</f>
        <v>848</v>
      </c>
      <c r="F86">
        <f>SUBTOTAL(9,F83:F85)</f>
        <v>387</v>
      </c>
    </row>
    <row r="87" spans="1:6" outlineLevel="3" x14ac:dyDescent="0.2">
      <c r="A87" t="s">
        <v>5</v>
      </c>
      <c r="B87" t="s">
        <v>9</v>
      </c>
      <c r="C87" t="s">
        <v>11</v>
      </c>
      <c r="D87">
        <v>11</v>
      </c>
      <c r="E87">
        <v>135</v>
      </c>
      <c r="F87">
        <v>125</v>
      </c>
    </row>
    <row r="88" spans="1:6" outlineLevel="3" x14ac:dyDescent="0.2">
      <c r="A88" t="s">
        <v>5</v>
      </c>
      <c r="B88" t="s">
        <v>9</v>
      </c>
      <c r="C88" t="s">
        <v>13</v>
      </c>
      <c r="D88">
        <v>11</v>
      </c>
      <c r="E88">
        <v>282</v>
      </c>
      <c r="F88">
        <v>116</v>
      </c>
    </row>
    <row r="89" spans="1:6" outlineLevel="3" x14ac:dyDescent="0.2">
      <c r="A89" t="s">
        <v>5</v>
      </c>
      <c r="B89" t="s">
        <v>9</v>
      </c>
      <c r="C89" t="s">
        <v>12</v>
      </c>
      <c r="D89">
        <v>12</v>
      </c>
      <c r="E89">
        <v>404</v>
      </c>
      <c r="F89">
        <v>156</v>
      </c>
    </row>
    <row r="90" spans="1:6" outlineLevel="2" x14ac:dyDescent="0.2">
      <c r="B90" s="37" t="s">
        <v>101</v>
      </c>
      <c r="E90">
        <f>SUBTOTAL(9,E87:E89)</f>
        <v>821</v>
      </c>
      <c r="F90">
        <f>SUBTOTAL(9,F87:F89)</f>
        <v>397</v>
      </c>
    </row>
    <row r="91" spans="1:6" outlineLevel="1" x14ac:dyDescent="0.2">
      <c r="A91" s="37" t="s">
        <v>94</v>
      </c>
      <c r="E91">
        <f>SUBTOTAL(9,E71:E89)</f>
        <v>3966</v>
      </c>
      <c r="F91">
        <f>SUBTOTAL(9,F71:F89)</f>
        <v>2242</v>
      </c>
    </row>
    <row r="92" spans="1:6" outlineLevel="3" x14ac:dyDescent="0.2">
      <c r="A92" t="s">
        <v>2</v>
      </c>
      <c r="B92" t="s">
        <v>6</v>
      </c>
      <c r="C92" t="s">
        <v>13</v>
      </c>
      <c r="D92">
        <v>11</v>
      </c>
      <c r="E92">
        <v>355</v>
      </c>
      <c r="F92">
        <v>164</v>
      </c>
    </row>
    <row r="93" spans="1:6" outlineLevel="3" x14ac:dyDescent="0.2">
      <c r="A93" t="s">
        <v>2</v>
      </c>
      <c r="B93" t="s">
        <v>6</v>
      </c>
      <c r="C93" t="s">
        <v>11</v>
      </c>
      <c r="D93">
        <v>12</v>
      </c>
      <c r="E93">
        <v>159</v>
      </c>
      <c r="F93">
        <v>162</v>
      </c>
    </row>
    <row r="94" spans="1:6" outlineLevel="3" x14ac:dyDescent="0.2">
      <c r="A94" t="s">
        <v>2</v>
      </c>
      <c r="B94" t="s">
        <v>6</v>
      </c>
      <c r="C94" t="s">
        <v>12</v>
      </c>
      <c r="D94">
        <v>14</v>
      </c>
      <c r="E94">
        <v>355</v>
      </c>
      <c r="F94">
        <v>150</v>
      </c>
    </row>
    <row r="95" spans="1:6" outlineLevel="2" x14ac:dyDescent="0.2">
      <c r="B95" s="37" t="s">
        <v>97</v>
      </c>
      <c r="E95">
        <f>SUBTOTAL(9,E92:E94)</f>
        <v>869</v>
      </c>
      <c r="F95">
        <f>SUBTOTAL(9,F92:F94)</f>
        <v>476</v>
      </c>
    </row>
    <row r="96" spans="1:6" outlineLevel="3" x14ac:dyDescent="0.2">
      <c r="A96" t="s">
        <v>2</v>
      </c>
      <c r="B96" t="s">
        <v>7</v>
      </c>
      <c r="C96" t="s">
        <v>12</v>
      </c>
      <c r="D96">
        <v>7</v>
      </c>
      <c r="E96">
        <v>457</v>
      </c>
      <c r="F96">
        <v>114</v>
      </c>
    </row>
    <row r="97" spans="1:6" outlineLevel="3" x14ac:dyDescent="0.2">
      <c r="A97" t="s">
        <v>2</v>
      </c>
      <c r="B97" t="s">
        <v>7</v>
      </c>
      <c r="C97" t="s">
        <v>13</v>
      </c>
      <c r="D97">
        <v>11</v>
      </c>
      <c r="E97">
        <v>380</v>
      </c>
      <c r="F97">
        <v>200</v>
      </c>
    </row>
    <row r="98" spans="1:6" outlineLevel="3" x14ac:dyDescent="0.2">
      <c r="A98" t="s">
        <v>2</v>
      </c>
      <c r="B98" t="s">
        <v>7</v>
      </c>
      <c r="C98" t="s">
        <v>11</v>
      </c>
      <c r="D98">
        <v>14</v>
      </c>
      <c r="E98">
        <v>135</v>
      </c>
      <c r="F98">
        <v>163</v>
      </c>
    </row>
    <row r="99" spans="1:6" outlineLevel="2" x14ac:dyDescent="0.2">
      <c r="B99" s="37" t="s">
        <v>98</v>
      </c>
      <c r="E99">
        <f>SUBTOTAL(9,E96:E98)</f>
        <v>972</v>
      </c>
      <c r="F99">
        <f>SUBTOTAL(9,F96:F98)</f>
        <v>477</v>
      </c>
    </row>
    <row r="100" spans="1:6" outlineLevel="3" x14ac:dyDescent="0.2">
      <c r="A100" t="s">
        <v>2</v>
      </c>
      <c r="B100" t="s">
        <v>10</v>
      </c>
      <c r="C100" t="s">
        <v>11</v>
      </c>
      <c r="D100">
        <v>7</v>
      </c>
      <c r="E100">
        <v>155</v>
      </c>
      <c r="F100">
        <v>192</v>
      </c>
    </row>
    <row r="101" spans="1:6" outlineLevel="3" x14ac:dyDescent="0.2">
      <c r="A101" t="s">
        <v>2</v>
      </c>
      <c r="B101" t="s">
        <v>10</v>
      </c>
      <c r="C101" t="s">
        <v>12</v>
      </c>
      <c r="D101">
        <v>11</v>
      </c>
      <c r="E101">
        <v>285</v>
      </c>
      <c r="F101">
        <v>122</v>
      </c>
    </row>
    <row r="102" spans="1:6" outlineLevel="3" x14ac:dyDescent="0.2">
      <c r="A102" t="s">
        <v>2</v>
      </c>
      <c r="B102" t="s">
        <v>10</v>
      </c>
      <c r="C102" t="s">
        <v>13</v>
      </c>
      <c r="D102">
        <v>12</v>
      </c>
      <c r="E102">
        <v>272</v>
      </c>
      <c r="F102">
        <v>104</v>
      </c>
    </row>
    <row r="103" spans="1:6" outlineLevel="2" x14ac:dyDescent="0.2">
      <c r="B103" s="37" t="s">
        <v>99</v>
      </c>
      <c r="E103">
        <f>SUBTOTAL(9,E100:E102)</f>
        <v>712</v>
      </c>
      <c r="F103">
        <f>SUBTOTAL(9,F100:F102)</f>
        <v>418</v>
      </c>
    </row>
    <row r="104" spans="1:6" outlineLevel="3" x14ac:dyDescent="0.2">
      <c r="A104" t="s">
        <v>2</v>
      </c>
      <c r="B104" t="s">
        <v>8</v>
      </c>
      <c r="C104" t="s">
        <v>13</v>
      </c>
      <c r="D104">
        <v>7</v>
      </c>
      <c r="E104">
        <v>443</v>
      </c>
      <c r="F104">
        <v>138</v>
      </c>
    </row>
    <row r="105" spans="1:6" outlineLevel="3" x14ac:dyDescent="0.2">
      <c r="A105" t="s">
        <v>2</v>
      </c>
      <c r="B105" t="s">
        <v>8</v>
      </c>
      <c r="C105" t="s">
        <v>12</v>
      </c>
      <c r="D105">
        <v>14</v>
      </c>
      <c r="E105">
        <v>182</v>
      </c>
      <c r="F105">
        <v>100</v>
      </c>
    </row>
    <row r="106" spans="1:6" outlineLevel="3" x14ac:dyDescent="0.2">
      <c r="A106" t="s">
        <v>2</v>
      </c>
      <c r="B106" t="s">
        <v>8</v>
      </c>
      <c r="C106" t="s">
        <v>11</v>
      </c>
      <c r="D106">
        <v>14</v>
      </c>
      <c r="E106">
        <v>356</v>
      </c>
      <c r="F106">
        <v>141</v>
      </c>
    </row>
    <row r="107" spans="1:6" outlineLevel="2" x14ac:dyDescent="0.2">
      <c r="B107" s="37" t="s">
        <v>100</v>
      </c>
      <c r="E107">
        <f>SUBTOTAL(9,E104:E106)</f>
        <v>981</v>
      </c>
      <c r="F107">
        <f>SUBTOTAL(9,F104:F106)</f>
        <v>379</v>
      </c>
    </row>
    <row r="108" spans="1:6" outlineLevel="3" x14ac:dyDescent="0.2">
      <c r="A108" t="s">
        <v>2</v>
      </c>
      <c r="B108" t="s">
        <v>9</v>
      </c>
      <c r="C108" t="s">
        <v>13</v>
      </c>
      <c r="D108">
        <v>7</v>
      </c>
      <c r="E108">
        <v>301</v>
      </c>
      <c r="F108">
        <v>148</v>
      </c>
    </row>
    <row r="109" spans="1:6" outlineLevel="3" x14ac:dyDescent="0.2">
      <c r="A109" t="s">
        <v>2</v>
      </c>
      <c r="B109" t="s">
        <v>9</v>
      </c>
      <c r="C109" t="s">
        <v>12</v>
      </c>
      <c r="D109">
        <v>14</v>
      </c>
      <c r="E109">
        <v>180</v>
      </c>
      <c r="F109">
        <v>165</v>
      </c>
    </row>
    <row r="110" spans="1:6" outlineLevel="3" x14ac:dyDescent="0.2">
      <c r="A110" t="s">
        <v>2</v>
      </c>
      <c r="B110" t="s">
        <v>9</v>
      </c>
      <c r="C110" t="s">
        <v>11</v>
      </c>
      <c r="D110">
        <v>14</v>
      </c>
      <c r="E110">
        <v>383</v>
      </c>
      <c r="F110">
        <v>196</v>
      </c>
    </row>
    <row r="111" spans="1:6" outlineLevel="2" x14ac:dyDescent="0.2">
      <c r="B111" s="37" t="s">
        <v>101</v>
      </c>
      <c r="E111">
        <f>SUBTOTAL(9,E108:E110)</f>
        <v>864</v>
      </c>
      <c r="F111">
        <f>SUBTOTAL(9,F108:F110)</f>
        <v>509</v>
      </c>
    </row>
    <row r="112" spans="1:6" outlineLevel="1" x14ac:dyDescent="0.2">
      <c r="A112" s="37" t="s">
        <v>95</v>
      </c>
      <c r="E112">
        <f>SUBTOTAL(9,E92:E110)</f>
        <v>4398</v>
      </c>
      <c r="F112">
        <f>SUBTOTAL(9,F92:F110)</f>
        <v>2259</v>
      </c>
    </row>
    <row r="113" spans="1:6" outlineLevel="3" x14ac:dyDescent="0.2">
      <c r="A113" t="s">
        <v>4</v>
      </c>
      <c r="B113" t="s">
        <v>6</v>
      </c>
      <c r="C113" t="s">
        <v>13</v>
      </c>
      <c r="D113">
        <v>7</v>
      </c>
      <c r="E113">
        <v>426</v>
      </c>
      <c r="F113">
        <v>185</v>
      </c>
    </row>
    <row r="114" spans="1:6" outlineLevel="3" x14ac:dyDescent="0.2">
      <c r="A114" t="s">
        <v>4</v>
      </c>
      <c r="B114" t="s">
        <v>6</v>
      </c>
      <c r="C114" t="s">
        <v>12</v>
      </c>
      <c r="D114">
        <v>12</v>
      </c>
      <c r="E114">
        <v>377</v>
      </c>
      <c r="F114">
        <v>143</v>
      </c>
    </row>
    <row r="115" spans="1:6" outlineLevel="2" x14ac:dyDescent="0.2">
      <c r="B115" s="37" t="s">
        <v>97</v>
      </c>
      <c r="E115">
        <f>SUBTOTAL(9,E113:E114)</f>
        <v>803</v>
      </c>
      <c r="F115">
        <f>SUBTOTAL(9,F113:F114)</f>
        <v>328</v>
      </c>
    </row>
    <row r="116" spans="1:6" outlineLevel="3" x14ac:dyDescent="0.2">
      <c r="A116" t="s">
        <v>4</v>
      </c>
      <c r="B116" t="s">
        <v>7</v>
      </c>
      <c r="C116" t="s">
        <v>12</v>
      </c>
      <c r="D116">
        <v>7</v>
      </c>
      <c r="E116">
        <v>286</v>
      </c>
      <c r="F116">
        <v>132</v>
      </c>
    </row>
    <row r="117" spans="1:6" outlineLevel="3" x14ac:dyDescent="0.2">
      <c r="A117" t="s">
        <v>4</v>
      </c>
      <c r="B117" t="s">
        <v>7</v>
      </c>
      <c r="C117" t="s">
        <v>13</v>
      </c>
      <c r="D117">
        <v>11</v>
      </c>
      <c r="E117">
        <v>316</v>
      </c>
      <c r="F117">
        <v>167</v>
      </c>
    </row>
    <row r="118" spans="1:6" outlineLevel="3" x14ac:dyDescent="0.2">
      <c r="A118" t="s">
        <v>4</v>
      </c>
      <c r="B118" t="s">
        <v>7</v>
      </c>
      <c r="C118" t="s">
        <v>11</v>
      </c>
      <c r="D118">
        <v>14</v>
      </c>
      <c r="E118">
        <v>237</v>
      </c>
      <c r="F118">
        <v>103</v>
      </c>
    </row>
    <row r="119" spans="1:6" outlineLevel="2" x14ac:dyDescent="0.2">
      <c r="B119" s="37" t="s">
        <v>98</v>
      </c>
      <c r="E119">
        <f>SUBTOTAL(9,E116:E118)</f>
        <v>839</v>
      </c>
      <c r="F119">
        <f>SUBTOTAL(9,F116:F118)</f>
        <v>402</v>
      </c>
    </row>
    <row r="120" spans="1:6" outlineLevel="3" x14ac:dyDescent="0.2">
      <c r="A120" t="s">
        <v>4</v>
      </c>
      <c r="B120" t="s">
        <v>10</v>
      </c>
      <c r="C120" t="s">
        <v>13</v>
      </c>
      <c r="D120">
        <v>7</v>
      </c>
      <c r="E120">
        <v>258</v>
      </c>
      <c r="F120">
        <v>141</v>
      </c>
    </row>
    <row r="121" spans="1:6" outlineLevel="3" x14ac:dyDescent="0.2">
      <c r="A121" t="s">
        <v>4</v>
      </c>
      <c r="B121" t="s">
        <v>10</v>
      </c>
      <c r="C121" t="s">
        <v>12</v>
      </c>
      <c r="D121">
        <v>12</v>
      </c>
      <c r="E121">
        <v>290</v>
      </c>
      <c r="F121">
        <v>167</v>
      </c>
    </row>
    <row r="122" spans="1:6" outlineLevel="3" x14ac:dyDescent="0.2">
      <c r="A122" t="s">
        <v>4</v>
      </c>
      <c r="B122" t="s">
        <v>10</v>
      </c>
      <c r="C122" t="s">
        <v>11</v>
      </c>
      <c r="D122">
        <v>12</v>
      </c>
      <c r="E122">
        <v>483</v>
      </c>
      <c r="F122">
        <v>117</v>
      </c>
    </row>
    <row r="123" spans="1:6" outlineLevel="2" x14ac:dyDescent="0.2">
      <c r="B123" s="37" t="s">
        <v>99</v>
      </c>
      <c r="E123">
        <f>SUBTOTAL(9,E120:E122)</f>
        <v>1031</v>
      </c>
      <c r="F123">
        <f>SUBTOTAL(9,F120:F122)</f>
        <v>425</v>
      </c>
    </row>
    <row r="124" spans="1:6" outlineLevel="3" x14ac:dyDescent="0.2">
      <c r="A124" t="s">
        <v>4</v>
      </c>
      <c r="B124" t="s">
        <v>8</v>
      </c>
      <c r="C124" t="s">
        <v>13</v>
      </c>
      <c r="D124">
        <v>7</v>
      </c>
      <c r="E124">
        <v>151</v>
      </c>
      <c r="F124">
        <v>194</v>
      </c>
    </row>
    <row r="125" spans="1:6" outlineLevel="3" x14ac:dyDescent="0.2">
      <c r="A125" t="s">
        <v>4</v>
      </c>
      <c r="B125" t="s">
        <v>8</v>
      </c>
      <c r="C125" t="s">
        <v>12</v>
      </c>
      <c r="D125">
        <v>12</v>
      </c>
      <c r="E125">
        <v>289</v>
      </c>
      <c r="F125">
        <v>165</v>
      </c>
    </row>
    <row r="126" spans="1:6" outlineLevel="3" x14ac:dyDescent="0.2">
      <c r="A126" t="s">
        <v>4</v>
      </c>
      <c r="B126" t="s">
        <v>8</v>
      </c>
      <c r="C126" t="s">
        <v>11</v>
      </c>
      <c r="D126">
        <v>12</v>
      </c>
      <c r="E126">
        <v>136</v>
      </c>
      <c r="F126">
        <v>147</v>
      </c>
    </row>
    <row r="127" spans="1:6" outlineLevel="2" x14ac:dyDescent="0.2">
      <c r="B127" s="37" t="s">
        <v>100</v>
      </c>
      <c r="E127">
        <f>SUBTOTAL(9,E124:E126)</f>
        <v>576</v>
      </c>
      <c r="F127">
        <f>SUBTOTAL(9,F124:F126)</f>
        <v>506</v>
      </c>
    </row>
    <row r="128" spans="1:6" outlineLevel="3" x14ac:dyDescent="0.2">
      <c r="A128" t="s">
        <v>4</v>
      </c>
      <c r="B128" t="s">
        <v>9</v>
      </c>
      <c r="C128" t="s">
        <v>12</v>
      </c>
      <c r="D128">
        <v>7</v>
      </c>
      <c r="E128">
        <v>143</v>
      </c>
      <c r="F128">
        <v>131</v>
      </c>
    </row>
    <row r="129" spans="1:6" outlineLevel="3" x14ac:dyDescent="0.2">
      <c r="A129" t="s">
        <v>4</v>
      </c>
      <c r="B129" t="s">
        <v>9</v>
      </c>
      <c r="C129" t="s">
        <v>13</v>
      </c>
      <c r="D129">
        <v>11</v>
      </c>
      <c r="E129">
        <v>351</v>
      </c>
      <c r="F129">
        <v>169</v>
      </c>
    </row>
    <row r="130" spans="1:6" outlineLevel="3" x14ac:dyDescent="0.2">
      <c r="A130" t="s">
        <v>4</v>
      </c>
      <c r="B130" t="s">
        <v>9</v>
      </c>
      <c r="C130" t="s">
        <v>11</v>
      </c>
      <c r="D130">
        <v>14</v>
      </c>
      <c r="E130">
        <v>352</v>
      </c>
      <c r="F130">
        <v>117</v>
      </c>
    </row>
    <row r="131" spans="1:6" outlineLevel="2" x14ac:dyDescent="0.2">
      <c r="B131" s="37" t="s">
        <v>101</v>
      </c>
      <c r="E131">
        <f>SUBTOTAL(9,E128:E130)</f>
        <v>846</v>
      </c>
      <c r="F131">
        <f>SUBTOTAL(9,F128:F130)</f>
        <v>417</v>
      </c>
    </row>
    <row r="132" spans="1:6" outlineLevel="1" x14ac:dyDescent="0.2">
      <c r="A132" s="37" t="s">
        <v>96</v>
      </c>
      <c r="E132">
        <f>SUBTOTAL(9,E113:E130)</f>
        <v>4095</v>
      </c>
      <c r="F132">
        <f>SUBTOTAL(9,F113:F130)</f>
        <v>2078</v>
      </c>
    </row>
    <row r="133" spans="1:6" x14ac:dyDescent="0.2">
      <c r="A133" s="37" t="s">
        <v>78</v>
      </c>
      <c r="E133">
        <f>SUBTOTAL(9,E8:E130)</f>
        <v>27273</v>
      </c>
      <c r="F133">
        <f>SUBTOTAL(9,F8:F130)</f>
        <v>12981</v>
      </c>
    </row>
  </sheetData>
  <sortState xmlns:xlrd2="http://schemas.microsoft.com/office/spreadsheetml/2017/richdata2" ref="A8:F130">
    <sortCondition ref="A8:A130"/>
    <sortCondition ref="B8:B130"/>
  </sortState>
  <phoneticPr fontId="0" type="noConversion"/>
  <pageMargins left="0.7" right="0.7" top="0.78740157499999996" bottom="0.78740157499999996" header="0.3" footer="0.3"/>
  <pageSetup paperSize="9" orientation="portrait" r:id="rId1"/>
  <rowBreaks count="35" manualBreakCount="35">
    <brk id="11" max="16383" man="1"/>
    <brk id="15" max="16383" man="1"/>
    <brk id="19" max="16383" man="1"/>
    <brk id="23" max="16383" man="1"/>
    <brk id="27" max="16383" man="1"/>
    <brk id="28" max="16383" man="1"/>
    <brk id="32" max="16383" man="1"/>
    <brk id="36" max="16383" man="1"/>
    <brk id="40" max="16383" man="1"/>
    <brk id="44" max="16383" man="1"/>
    <brk id="48" max="16383" man="1"/>
    <brk id="49" max="16383" man="1"/>
    <brk id="53" max="16383" man="1"/>
    <brk id="57" max="16383" man="1"/>
    <brk id="61" max="16383" man="1"/>
    <brk id="65" max="16383" man="1"/>
    <brk id="69" max="16383" man="1"/>
    <brk id="70" max="16383" man="1"/>
    <brk id="74" max="16383" man="1"/>
    <brk id="78" max="16383" man="1"/>
    <brk id="82" max="16383" man="1"/>
    <brk id="86" max="16383" man="1"/>
    <brk id="90" max="16383" man="1"/>
    <brk id="91" max="16383" man="1"/>
    <brk id="95" max="16383" man="1"/>
    <brk id="99" max="16383" man="1"/>
    <brk id="103" max="16383" man="1"/>
    <brk id="107" max="16383" man="1"/>
    <brk id="111" max="16383" man="1"/>
    <brk id="112" max="16383" man="1"/>
    <brk id="115" max="16383" man="1"/>
    <brk id="119" max="16383" man="1"/>
    <brk id="123" max="16383" man="1"/>
    <brk id="127" max="16383" man="1"/>
    <brk id="133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J56" sqref="J56"/>
    </sheetView>
  </sheetViews>
  <sheetFormatPr defaultColWidth="9.28515625" defaultRowHeight="12.75" x14ac:dyDescent="0.2"/>
  <cols>
    <col min="1" max="1" width="9.28515625" style="15"/>
    <col min="2" max="2" width="15.42578125" style="15" customWidth="1"/>
    <col min="3" max="5" width="11.7109375" style="15" customWidth="1"/>
    <col min="6" max="6" width="14.28515625" style="15" customWidth="1"/>
    <col min="7" max="8" width="11.7109375" style="15" customWidth="1"/>
    <col min="9" max="9" width="13.7109375" style="15" customWidth="1"/>
    <col min="10" max="11" width="13.28515625" style="15" customWidth="1"/>
    <col min="12" max="16384" width="9.28515625" style="15"/>
  </cols>
  <sheetData>
    <row r="1" spans="1:7" ht="23.25" customHeight="1" x14ac:dyDescent="0.2">
      <c r="A1" s="14" t="s">
        <v>43</v>
      </c>
    </row>
    <row r="3" spans="1:7" ht="30.75" customHeight="1" x14ac:dyDescent="0.2">
      <c r="A3" s="16" t="s">
        <v>20</v>
      </c>
    </row>
    <row r="5" spans="1:7" ht="31.35" customHeight="1" thickBot="1" x14ac:dyDescent="0.25"/>
    <row r="6" spans="1:7" ht="16.5" thickTop="1" thickBot="1" x14ac:dyDescent="0.3">
      <c r="A6" s="20"/>
      <c r="B6" s="20" t="s">
        <v>17</v>
      </c>
      <c r="C6" s="20" t="s">
        <v>44</v>
      </c>
      <c r="D6" s="20" t="s">
        <v>45</v>
      </c>
      <c r="E6" s="20" t="s">
        <v>46</v>
      </c>
      <c r="F6" s="20" t="s">
        <v>47</v>
      </c>
      <c r="G6" s="20" t="s">
        <v>48</v>
      </c>
    </row>
    <row r="7" spans="1:7" ht="16.5" thickTop="1" thickBot="1" x14ac:dyDescent="0.3">
      <c r="A7" s="20">
        <v>1</v>
      </c>
      <c r="B7" s="41" t="s">
        <v>64</v>
      </c>
      <c r="C7" s="41" t="s">
        <v>63</v>
      </c>
      <c r="D7" s="41" t="s">
        <v>62</v>
      </c>
      <c r="E7" s="41">
        <v>3652</v>
      </c>
      <c r="F7" s="42">
        <v>18260</v>
      </c>
      <c r="G7" s="41">
        <f t="shared" ref="G7:G38" si="0">F7*0.22</f>
        <v>4017.2</v>
      </c>
    </row>
    <row r="8" spans="1:7" ht="16.5" thickTop="1" thickBot="1" x14ac:dyDescent="0.3">
      <c r="A8" s="20">
        <v>2</v>
      </c>
      <c r="B8" s="41" t="s">
        <v>64</v>
      </c>
      <c r="C8" s="41" t="s">
        <v>54</v>
      </c>
      <c r="D8" s="41" t="s">
        <v>58</v>
      </c>
      <c r="E8" s="41">
        <v>2145</v>
      </c>
      <c r="F8" s="42">
        <v>6435</v>
      </c>
      <c r="G8" s="41">
        <f t="shared" si="0"/>
        <v>1415.7</v>
      </c>
    </row>
    <row r="9" spans="1:7" ht="16.5" thickTop="1" thickBot="1" x14ac:dyDescent="0.3">
      <c r="A9" s="20">
        <v>3</v>
      </c>
      <c r="B9" s="41" t="s">
        <v>64</v>
      </c>
      <c r="C9" s="41" t="s">
        <v>56</v>
      </c>
      <c r="D9" s="41" t="s">
        <v>51</v>
      </c>
      <c r="E9" s="41">
        <v>2544</v>
      </c>
      <c r="F9" s="42">
        <v>2798.4</v>
      </c>
      <c r="G9" s="41">
        <f t="shared" si="0"/>
        <v>615.64800000000002</v>
      </c>
    </row>
    <row r="10" spans="1:7" ht="16.5" thickTop="1" thickBot="1" x14ac:dyDescent="0.3">
      <c r="A10" s="20">
        <v>4</v>
      </c>
      <c r="B10" s="41" t="s">
        <v>64</v>
      </c>
      <c r="C10" s="41" t="s">
        <v>50</v>
      </c>
      <c r="D10" s="41" t="s">
        <v>51</v>
      </c>
      <c r="E10" s="41">
        <v>1489</v>
      </c>
      <c r="F10" s="42">
        <v>1637.9</v>
      </c>
      <c r="G10" s="41">
        <f t="shared" si="0"/>
        <v>360.33800000000002</v>
      </c>
    </row>
    <row r="11" spans="1:7" ht="16.5" thickTop="1" thickBot="1" x14ac:dyDescent="0.3">
      <c r="A11" s="20">
        <v>5</v>
      </c>
      <c r="B11" s="41" t="s">
        <v>64</v>
      </c>
      <c r="C11" s="41" t="s">
        <v>50</v>
      </c>
      <c r="D11" s="41" t="s">
        <v>55</v>
      </c>
      <c r="E11" s="41">
        <v>1258</v>
      </c>
      <c r="F11" s="42">
        <v>98124</v>
      </c>
      <c r="G11" s="41">
        <f t="shared" si="0"/>
        <v>21587.279999999999</v>
      </c>
    </row>
    <row r="12" spans="1:7" ht="16.5" thickTop="1" thickBot="1" x14ac:dyDescent="0.3">
      <c r="A12" s="20">
        <v>6</v>
      </c>
      <c r="B12" s="41" t="s">
        <v>6</v>
      </c>
      <c r="C12" s="41" t="s">
        <v>52</v>
      </c>
      <c r="D12" s="41" t="s">
        <v>51</v>
      </c>
      <c r="E12" s="43">
        <v>1237.8720000000001</v>
      </c>
      <c r="F12" s="42">
        <v>1361.6592000000003</v>
      </c>
      <c r="G12" s="41">
        <f t="shared" si="0"/>
        <v>299.56502400000005</v>
      </c>
    </row>
    <row r="13" spans="1:7" ht="16.5" thickTop="1" thickBot="1" x14ac:dyDescent="0.3">
      <c r="A13" s="20">
        <v>7</v>
      </c>
      <c r="B13" s="41" t="s">
        <v>6</v>
      </c>
      <c r="C13" s="41" t="s">
        <v>52</v>
      </c>
      <c r="D13" s="41" t="s">
        <v>53</v>
      </c>
      <c r="E13" s="43">
        <v>4439.808</v>
      </c>
      <c r="F13" s="42">
        <v>6659.7119999999995</v>
      </c>
      <c r="G13" s="41">
        <f t="shared" si="0"/>
        <v>1465.1366399999999</v>
      </c>
    </row>
    <row r="14" spans="1:7" ht="16.5" thickTop="1" thickBot="1" x14ac:dyDescent="0.3">
      <c r="A14" s="20">
        <v>8</v>
      </c>
      <c r="B14" s="41" t="s">
        <v>6</v>
      </c>
      <c r="C14" s="41" t="s">
        <v>63</v>
      </c>
      <c r="D14" s="41" t="s">
        <v>57</v>
      </c>
      <c r="E14" s="43">
        <v>180.2921</v>
      </c>
      <c r="F14" s="42">
        <v>88.343129000000005</v>
      </c>
      <c r="G14" s="41">
        <f t="shared" si="0"/>
        <v>19.435488380000002</v>
      </c>
    </row>
    <row r="15" spans="1:7" ht="16.5" thickTop="1" thickBot="1" x14ac:dyDescent="0.3">
      <c r="A15" s="20">
        <v>9</v>
      </c>
      <c r="B15" s="41" t="s">
        <v>6</v>
      </c>
      <c r="C15" s="41" t="s">
        <v>63</v>
      </c>
      <c r="D15" s="41" t="s">
        <v>51</v>
      </c>
      <c r="E15" s="43">
        <v>3556.1759999999999</v>
      </c>
      <c r="F15" s="42">
        <v>3911.7936000000004</v>
      </c>
      <c r="G15" s="41">
        <f t="shared" si="0"/>
        <v>860.59459200000015</v>
      </c>
    </row>
    <row r="16" spans="1:7" ht="16.5" thickTop="1" thickBot="1" x14ac:dyDescent="0.3">
      <c r="A16" s="20">
        <v>10</v>
      </c>
      <c r="B16" s="41" t="s">
        <v>6</v>
      </c>
      <c r="C16" s="41" t="s">
        <v>60</v>
      </c>
      <c r="D16" s="41" t="s">
        <v>51</v>
      </c>
      <c r="E16" s="43">
        <v>8792.0400000000009</v>
      </c>
      <c r="F16" s="42">
        <v>9671.2440000000024</v>
      </c>
      <c r="G16" s="41">
        <f t="shared" si="0"/>
        <v>2127.6736800000003</v>
      </c>
    </row>
    <row r="17" spans="1:8" ht="16.5" thickTop="1" thickBot="1" x14ac:dyDescent="0.3">
      <c r="A17" s="20">
        <v>11</v>
      </c>
      <c r="B17" s="41" t="s">
        <v>6</v>
      </c>
      <c r="C17" s="41" t="s">
        <v>61</v>
      </c>
      <c r="D17" s="41" t="s">
        <v>53</v>
      </c>
      <c r="E17" s="43">
        <v>270.81220000000002</v>
      </c>
      <c r="F17" s="42">
        <v>406.2183</v>
      </c>
      <c r="G17" s="41">
        <f t="shared" si="0"/>
        <v>89.368026</v>
      </c>
    </row>
    <row r="18" spans="1:8" ht="16.5" thickTop="1" thickBot="1" x14ac:dyDescent="0.3">
      <c r="A18" s="20">
        <v>12</v>
      </c>
      <c r="B18" s="41" t="s">
        <v>6</v>
      </c>
      <c r="C18" s="41" t="s">
        <v>66</v>
      </c>
      <c r="D18" s="41" t="s">
        <v>58</v>
      </c>
      <c r="E18" s="43">
        <v>155.47200000000001</v>
      </c>
      <c r="F18" s="42">
        <v>466.41600000000005</v>
      </c>
      <c r="G18" s="41">
        <f t="shared" si="0"/>
        <v>102.61152000000001</v>
      </c>
    </row>
    <row r="19" spans="1:8" ht="16.5" thickTop="1" thickBot="1" x14ac:dyDescent="0.3">
      <c r="A19" s="20">
        <v>13</v>
      </c>
      <c r="B19" s="41" t="s">
        <v>6</v>
      </c>
      <c r="C19" s="41" t="s">
        <v>54</v>
      </c>
      <c r="D19" s="41" t="s">
        <v>53</v>
      </c>
      <c r="E19" s="43">
        <v>4961.3991999999998</v>
      </c>
      <c r="F19" s="42">
        <v>7442.0987999999998</v>
      </c>
      <c r="G19" s="41">
        <f t="shared" si="0"/>
        <v>1637.2617359999999</v>
      </c>
    </row>
    <row r="20" spans="1:8" ht="16.5" thickTop="1" thickBot="1" x14ac:dyDescent="0.3">
      <c r="A20" s="20">
        <v>14</v>
      </c>
      <c r="B20" s="41" t="s">
        <v>6</v>
      </c>
      <c r="C20" s="41" t="s">
        <v>54</v>
      </c>
      <c r="D20" s="41" t="s">
        <v>55</v>
      </c>
      <c r="E20" s="43">
        <v>1065.2944</v>
      </c>
      <c r="F20" s="42">
        <v>83092.963199999998</v>
      </c>
      <c r="G20" s="41">
        <f t="shared" si="0"/>
        <v>18280.451904000001</v>
      </c>
    </row>
    <row r="21" spans="1:8" ht="16.5" thickTop="1" thickBot="1" x14ac:dyDescent="0.3">
      <c r="A21" s="20">
        <v>15</v>
      </c>
      <c r="B21" s="41" t="s">
        <v>6</v>
      </c>
      <c r="C21" s="41" t="s">
        <v>54</v>
      </c>
      <c r="D21" s="41" t="s">
        <v>62</v>
      </c>
      <c r="E21" s="43">
        <v>2330.1120000000001</v>
      </c>
      <c r="F21" s="42">
        <v>11650.56</v>
      </c>
      <c r="G21" s="41">
        <f t="shared" si="0"/>
        <v>2563.1232</v>
      </c>
    </row>
    <row r="22" spans="1:8" ht="16.5" thickTop="1" thickBot="1" x14ac:dyDescent="0.3">
      <c r="A22" s="20">
        <v>16</v>
      </c>
      <c r="B22" s="41" t="s">
        <v>6</v>
      </c>
      <c r="C22" s="41" t="s">
        <v>54</v>
      </c>
      <c r="D22" s="41" t="s">
        <v>58</v>
      </c>
      <c r="E22" s="43">
        <v>1233.9359999999999</v>
      </c>
      <c r="F22" s="42">
        <v>3701.808</v>
      </c>
      <c r="G22" s="41">
        <f t="shared" si="0"/>
        <v>814.39775999999995</v>
      </c>
    </row>
    <row r="23" spans="1:8" ht="16.5" thickTop="1" thickBot="1" x14ac:dyDescent="0.3">
      <c r="A23" s="20">
        <v>17</v>
      </c>
      <c r="B23" s="41" t="s">
        <v>6</v>
      </c>
      <c r="C23" s="41" t="s">
        <v>56</v>
      </c>
      <c r="D23" s="41" t="s">
        <v>58</v>
      </c>
      <c r="E23" s="43">
        <v>5233.7075999999997</v>
      </c>
      <c r="F23" s="42">
        <v>15701.122799999999</v>
      </c>
      <c r="G23" s="41">
        <f t="shared" si="0"/>
        <v>3454.2470159999998</v>
      </c>
    </row>
    <row r="24" spans="1:8" ht="16.5" thickTop="1" thickBot="1" x14ac:dyDescent="0.3">
      <c r="A24" s="20">
        <v>18</v>
      </c>
      <c r="B24" s="41" t="s">
        <v>6</v>
      </c>
      <c r="C24" s="41" t="s">
        <v>56</v>
      </c>
      <c r="D24" s="41" t="s">
        <v>55</v>
      </c>
      <c r="E24" s="43">
        <v>207.624</v>
      </c>
      <c r="F24" s="42">
        <v>16194.672</v>
      </c>
      <c r="G24" s="41">
        <f t="shared" si="0"/>
        <v>3562.8278399999999</v>
      </c>
    </row>
    <row r="25" spans="1:8" ht="16.5" thickTop="1" thickBot="1" x14ac:dyDescent="0.3">
      <c r="A25" s="20">
        <v>19</v>
      </c>
      <c r="B25" s="41" t="s">
        <v>6</v>
      </c>
      <c r="C25" s="41" t="s">
        <v>50</v>
      </c>
      <c r="D25" s="41" t="s">
        <v>55</v>
      </c>
      <c r="E25" s="43">
        <v>938.11739999999998</v>
      </c>
      <c r="F25" s="42">
        <v>73173.157200000001</v>
      </c>
      <c r="G25" s="41">
        <f t="shared" si="0"/>
        <v>16098.094584</v>
      </c>
    </row>
    <row r="26" spans="1:8" ht="16.5" thickTop="1" thickBot="1" x14ac:dyDescent="0.3">
      <c r="A26" s="20">
        <v>20</v>
      </c>
      <c r="B26" s="41" t="s">
        <v>7</v>
      </c>
      <c r="C26" s="41" t="s">
        <v>68</v>
      </c>
      <c r="D26" s="41" t="s">
        <v>62</v>
      </c>
      <c r="E26" s="43">
        <v>10</v>
      </c>
      <c r="F26" s="42">
        <v>1500.6</v>
      </c>
      <c r="G26" s="41">
        <f t="shared" si="0"/>
        <v>330.13200000000001</v>
      </c>
    </row>
    <row r="27" spans="1:8" ht="16.5" thickTop="1" thickBot="1" x14ac:dyDescent="0.3">
      <c r="A27" s="20">
        <v>21</v>
      </c>
      <c r="B27" s="41" t="s">
        <v>65</v>
      </c>
      <c r="C27" s="41" t="s">
        <v>52</v>
      </c>
      <c r="D27" s="41" t="s">
        <v>57</v>
      </c>
      <c r="E27" s="41">
        <v>211</v>
      </c>
      <c r="F27" s="42">
        <v>103.39</v>
      </c>
      <c r="G27" s="41">
        <f t="shared" si="0"/>
        <v>22.745799999999999</v>
      </c>
    </row>
    <row r="28" spans="1:8" ht="16.5" thickTop="1" thickBot="1" x14ac:dyDescent="0.3">
      <c r="A28" s="20">
        <v>22</v>
      </c>
      <c r="B28" s="41" t="s">
        <v>65</v>
      </c>
      <c r="C28" s="41" t="s">
        <v>52</v>
      </c>
      <c r="D28" s="41" t="s">
        <v>53</v>
      </c>
      <c r="E28" s="41">
        <v>4512</v>
      </c>
      <c r="F28" s="42">
        <v>6768</v>
      </c>
      <c r="G28" s="41">
        <f t="shared" si="0"/>
        <v>1488.96</v>
      </c>
    </row>
    <row r="29" spans="1:8" ht="16.5" thickTop="1" thickBot="1" x14ac:dyDescent="0.3">
      <c r="A29" s="20">
        <v>23</v>
      </c>
      <c r="B29" s="41" t="s">
        <v>65</v>
      </c>
      <c r="C29" s="41" t="s">
        <v>52</v>
      </c>
      <c r="D29" s="41" t="s">
        <v>51</v>
      </c>
      <c r="E29" s="41">
        <v>6632</v>
      </c>
      <c r="F29" s="42">
        <v>7295.2</v>
      </c>
      <c r="G29" s="41">
        <f t="shared" si="0"/>
        <v>1604.944</v>
      </c>
    </row>
    <row r="30" spans="1:8" ht="16.5" thickTop="1" thickBot="1" x14ac:dyDescent="0.3">
      <c r="A30" s="20">
        <v>24</v>
      </c>
      <c r="B30" s="41" t="s">
        <v>65</v>
      </c>
      <c r="C30" s="41" t="s">
        <v>52</v>
      </c>
      <c r="D30" s="41" t="s">
        <v>55</v>
      </c>
      <c r="E30" s="41">
        <v>362</v>
      </c>
      <c r="F30" s="42">
        <v>28236</v>
      </c>
      <c r="G30" s="41">
        <f t="shared" si="0"/>
        <v>6211.92</v>
      </c>
    </row>
    <row r="31" spans="1:8" ht="16.5" thickTop="1" thickBot="1" x14ac:dyDescent="0.3">
      <c r="A31" s="20">
        <v>25</v>
      </c>
      <c r="B31" s="41" t="s">
        <v>65</v>
      </c>
      <c r="C31" s="41" t="s">
        <v>63</v>
      </c>
      <c r="D31" s="41" t="s">
        <v>62</v>
      </c>
      <c r="E31" s="41">
        <v>158</v>
      </c>
      <c r="F31" s="42">
        <v>790</v>
      </c>
      <c r="G31" s="41">
        <f t="shared" si="0"/>
        <v>173.8</v>
      </c>
    </row>
    <row r="32" spans="1:8" ht="16.5" thickTop="1" thickBot="1" x14ac:dyDescent="0.3">
      <c r="A32" s="20">
        <v>26</v>
      </c>
      <c r="B32" s="41" t="s">
        <v>65</v>
      </c>
      <c r="C32" s="41" t="s">
        <v>63</v>
      </c>
      <c r="D32" s="41" t="s">
        <v>53</v>
      </c>
      <c r="E32" s="41">
        <v>1254</v>
      </c>
      <c r="F32" s="42">
        <v>1881</v>
      </c>
      <c r="G32" s="41">
        <f t="shared" si="0"/>
        <v>413.82</v>
      </c>
      <c r="H32" s="17"/>
    </row>
    <row r="33" spans="1:8" ht="16.5" thickTop="1" thickBot="1" x14ac:dyDescent="0.3">
      <c r="A33" s="20">
        <v>27</v>
      </c>
      <c r="B33" s="41" t="s">
        <v>65</v>
      </c>
      <c r="C33" s="41" t="s">
        <v>63</v>
      </c>
      <c r="D33" s="41" t="s">
        <v>53</v>
      </c>
      <c r="E33" s="43">
        <v>2924.48</v>
      </c>
      <c r="F33" s="42">
        <v>4386.72</v>
      </c>
      <c r="G33" s="41">
        <f t="shared" si="0"/>
        <v>965.0784000000001</v>
      </c>
      <c r="H33" s="17"/>
    </row>
    <row r="34" spans="1:8" ht="16.5" thickTop="1" thickBot="1" x14ac:dyDescent="0.3">
      <c r="A34" s="20">
        <v>28</v>
      </c>
      <c r="B34" s="41" t="s">
        <v>65</v>
      </c>
      <c r="C34" s="41" t="s">
        <v>63</v>
      </c>
      <c r="D34" s="41" t="s">
        <v>62</v>
      </c>
      <c r="E34" s="43">
        <v>8640.06</v>
      </c>
      <c r="F34" s="42">
        <v>12650.4</v>
      </c>
      <c r="G34" s="41">
        <f t="shared" si="0"/>
        <v>2783.0879999999997</v>
      </c>
      <c r="H34" s="17"/>
    </row>
    <row r="35" spans="1:8" ht="16.5" thickTop="1" thickBot="1" x14ac:dyDescent="0.3">
      <c r="A35" s="20">
        <v>29</v>
      </c>
      <c r="B35" s="41" t="s">
        <v>65</v>
      </c>
      <c r="C35" s="41" t="s">
        <v>60</v>
      </c>
      <c r="D35" s="41" t="s">
        <v>55</v>
      </c>
      <c r="E35" s="41">
        <v>241</v>
      </c>
      <c r="F35" s="42">
        <v>18798</v>
      </c>
      <c r="G35" s="41">
        <f t="shared" si="0"/>
        <v>4135.5600000000004</v>
      </c>
      <c r="H35" s="17"/>
    </row>
    <row r="36" spans="1:8" ht="16.5" thickTop="1" thickBot="1" x14ac:dyDescent="0.3">
      <c r="A36" s="20">
        <v>30</v>
      </c>
      <c r="B36" s="41" t="s">
        <v>65</v>
      </c>
      <c r="C36" s="41" t="s">
        <v>60</v>
      </c>
      <c r="D36" s="41" t="s">
        <v>55</v>
      </c>
      <c r="E36" s="41">
        <v>1424</v>
      </c>
      <c r="F36" s="42">
        <v>111072</v>
      </c>
      <c r="G36" s="41">
        <f t="shared" si="0"/>
        <v>24435.84</v>
      </c>
      <c r="H36" s="17"/>
    </row>
    <row r="37" spans="1:8" ht="16.5" thickTop="1" thickBot="1" x14ac:dyDescent="0.3">
      <c r="A37" s="20">
        <v>31</v>
      </c>
      <c r="B37" s="41" t="s">
        <v>65</v>
      </c>
      <c r="C37" s="41" t="s">
        <v>60</v>
      </c>
      <c r="D37" s="41" t="s">
        <v>51</v>
      </c>
      <c r="E37" s="43">
        <v>195.13</v>
      </c>
      <c r="F37" s="42">
        <v>214.643</v>
      </c>
      <c r="G37" s="41">
        <f t="shared" si="0"/>
        <v>47.22146</v>
      </c>
      <c r="H37" s="17"/>
    </row>
    <row r="38" spans="1:8" ht="16.5" thickTop="1" thickBot="1" x14ac:dyDescent="0.3">
      <c r="A38" s="20">
        <v>32</v>
      </c>
      <c r="B38" s="41" t="s">
        <v>65</v>
      </c>
      <c r="C38" s="41" t="s">
        <v>61</v>
      </c>
      <c r="D38" s="41" t="s">
        <v>55</v>
      </c>
      <c r="E38" s="41">
        <v>3614</v>
      </c>
      <c r="F38" s="42">
        <v>281892</v>
      </c>
      <c r="G38" s="41">
        <f t="shared" si="0"/>
        <v>62016.24</v>
      </c>
      <c r="H38" s="17"/>
    </row>
    <row r="39" spans="1:8" ht="16.5" thickTop="1" thickBot="1" x14ac:dyDescent="0.3">
      <c r="A39" s="20">
        <v>33</v>
      </c>
      <c r="B39" s="41" t="s">
        <v>65</v>
      </c>
      <c r="C39" s="41" t="s">
        <v>66</v>
      </c>
      <c r="D39" s="41" t="s">
        <v>57</v>
      </c>
      <c r="E39" s="41">
        <v>8935</v>
      </c>
      <c r="F39" s="42">
        <v>4378.1499999999996</v>
      </c>
      <c r="G39" s="41">
        <f t="shared" ref="G39:G70" si="1">F39*0.22</f>
        <v>963.19299999999987</v>
      </c>
      <c r="H39" s="17"/>
    </row>
    <row r="40" spans="1:8" ht="16.5" thickTop="1" thickBot="1" x14ac:dyDescent="0.3">
      <c r="A40" s="20">
        <v>34</v>
      </c>
      <c r="B40" s="41" t="s">
        <v>65</v>
      </c>
      <c r="C40" s="41" t="s">
        <v>66</v>
      </c>
      <c r="D40" s="41" t="s">
        <v>58</v>
      </c>
      <c r="E40" s="43">
        <v>1553.63</v>
      </c>
      <c r="F40" s="42">
        <v>4660.8900000000003</v>
      </c>
      <c r="G40" s="41">
        <f t="shared" si="1"/>
        <v>1025.3958</v>
      </c>
      <c r="H40" s="17"/>
    </row>
    <row r="41" spans="1:8" ht="16.5" thickTop="1" thickBot="1" x14ac:dyDescent="0.3">
      <c r="A41" s="20">
        <v>35</v>
      </c>
      <c r="B41" s="41" t="s">
        <v>65</v>
      </c>
      <c r="C41" s="41" t="s">
        <v>54</v>
      </c>
      <c r="D41" s="41" t="s">
        <v>58</v>
      </c>
      <c r="E41" s="43">
        <v>11034.725</v>
      </c>
      <c r="F41" s="42">
        <v>33104.175000000003</v>
      </c>
      <c r="G41" s="41">
        <f t="shared" si="1"/>
        <v>7282.9185000000007</v>
      </c>
      <c r="H41" s="17"/>
    </row>
    <row r="42" spans="1:8" ht="16.5" thickTop="1" thickBot="1" x14ac:dyDescent="0.3">
      <c r="A42" s="20">
        <v>36</v>
      </c>
      <c r="B42" s="41" t="s">
        <v>65</v>
      </c>
      <c r="C42" s="41" t="s">
        <v>54</v>
      </c>
      <c r="D42" s="41" t="s">
        <v>51</v>
      </c>
      <c r="E42" s="43">
        <v>5572.32</v>
      </c>
      <c r="F42" s="42">
        <v>6129.5520000000006</v>
      </c>
      <c r="G42" s="41">
        <f t="shared" si="1"/>
        <v>1348.5014400000002</v>
      </c>
      <c r="H42" s="17"/>
    </row>
    <row r="43" spans="1:8" ht="16.5" thickTop="1" thickBot="1" x14ac:dyDescent="0.3">
      <c r="A43" s="20">
        <v>37</v>
      </c>
      <c r="B43" s="41" t="s">
        <v>65</v>
      </c>
      <c r="C43" s="41" t="s">
        <v>56</v>
      </c>
      <c r="D43" s="41" t="s">
        <v>62</v>
      </c>
      <c r="E43" s="41">
        <v>6996</v>
      </c>
      <c r="F43" s="42">
        <v>9854.25</v>
      </c>
      <c r="G43" s="41">
        <f t="shared" si="1"/>
        <v>2167.9349999999999</v>
      </c>
      <c r="H43" s="17"/>
    </row>
    <row r="44" spans="1:8" ht="16.5" thickTop="1" thickBot="1" x14ac:dyDescent="0.3">
      <c r="A44" s="20">
        <v>38</v>
      </c>
      <c r="B44" s="41" t="s">
        <v>65</v>
      </c>
      <c r="C44" s="41" t="s">
        <v>56</v>
      </c>
      <c r="D44" s="41" t="s">
        <v>53</v>
      </c>
      <c r="E44" s="43">
        <v>260.58499999999998</v>
      </c>
      <c r="F44" s="42">
        <v>390.8775</v>
      </c>
      <c r="G44" s="41">
        <f t="shared" si="1"/>
        <v>85.993049999999997</v>
      </c>
      <c r="H44" s="17"/>
    </row>
    <row r="45" spans="1:8" ht="16.5" thickTop="1" thickBot="1" x14ac:dyDescent="0.3">
      <c r="A45" s="20">
        <v>39</v>
      </c>
      <c r="B45" s="41" t="s">
        <v>65</v>
      </c>
      <c r="C45" s="41" t="s">
        <v>56</v>
      </c>
      <c r="D45" s="41" t="s">
        <v>55</v>
      </c>
      <c r="E45" s="43">
        <v>4463.29</v>
      </c>
      <c r="F45" s="42">
        <v>348136.62</v>
      </c>
      <c r="G45" s="41">
        <f t="shared" si="1"/>
        <v>76590.056400000001</v>
      </c>
    </row>
    <row r="46" spans="1:8" ht="16.5" thickTop="1" thickBot="1" x14ac:dyDescent="0.3">
      <c r="A46" s="20">
        <v>40</v>
      </c>
      <c r="B46" s="41" t="s">
        <v>65</v>
      </c>
      <c r="C46" s="41" t="s">
        <v>56</v>
      </c>
      <c r="D46" s="41" t="s">
        <v>53</v>
      </c>
      <c r="E46" s="43">
        <v>1548.69</v>
      </c>
      <c r="F46" s="42">
        <v>2323.0349999999999</v>
      </c>
      <c r="G46" s="41">
        <f t="shared" si="1"/>
        <v>511.06769999999995</v>
      </c>
    </row>
    <row r="47" spans="1:8" ht="16.5" thickTop="1" thickBot="1" x14ac:dyDescent="0.3">
      <c r="A47" s="20">
        <v>41</v>
      </c>
      <c r="B47" s="41" t="s">
        <v>65</v>
      </c>
      <c r="C47" s="41" t="s">
        <v>50</v>
      </c>
      <c r="D47" s="41" t="s">
        <v>55</v>
      </c>
      <c r="E47" s="41">
        <v>2368</v>
      </c>
      <c r="F47" s="42">
        <v>184704</v>
      </c>
      <c r="G47" s="41">
        <f t="shared" si="1"/>
        <v>40634.879999999997</v>
      </c>
    </row>
    <row r="48" spans="1:8" ht="16.5" thickTop="1" thickBot="1" x14ac:dyDescent="0.3">
      <c r="A48" s="20">
        <v>42</v>
      </c>
      <c r="B48" s="41" t="s">
        <v>67</v>
      </c>
      <c r="C48" s="41" t="s">
        <v>52</v>
      </c>
      <c r="D48" s="41" t="s">
        <v>51</v>
      </c>
      <c r="E48" s="43">
        <v>8190.52</v>
      </c>
      <c r="F48" s="42">
        <v>9009.5720000000019</v>
      </c>
      <c r="G48" s="41">
        <f t="shared" si="1"/>
        <v>1982.1058400000004</v>
      </c>
    </row>
    <row r="49" spans="1:7" ht="16.5" thickTop="1" thickBot="1" x14ac:dyDescent="0.3">
      <c r="A49" s="20">
        <v>43</v>
      </c>
      <c r="B49" s="41" t="s">
        <v>67</v>
      </c>
      <c r="C49" s="41" t="s">
        <v>52</v>
      </c>
      <c r="D49" s="41" t="s">
        <v>55</v>
      </c>
      <c r="E49" s="43">
        <v>941.10979999999995</v>
      </c>
      <c r="F49" s="42">
        <v>73406.564400000003</v>
      </c>
      <c r="G49" s="41">
        <f t="shared" si="1"/>
        <v>16149.444168</v>
      </c>
    </row>
    <row r="50" spans="1:7" ht="16.5" thickTop="1" thickBot="1" x14ac:dyDescent="0.3">
      <c r="A50" s="20">
        <v>44</v>
      </c>
      <c r="B50" s="41" t="s">
        <v>67</v>
      </c>
      <c r="C50" s="41" t="s">
        <v>52</v>
      </c>
      <c r="D50" s="41" t="s">
        <v>58</v>
      </c>
      <c r="E50" s="43">
        <v>157.84909999999999</v>
      </c>
      <c r="F50" s="42">
        <v>473.54729999999995</v>
      </c>
      <c r="G50" s="41">
        <f t="shared" si="1"/>
        <v>104.18040599999999</v>
      </c>
    </row>
    <row r="51" spans="1:7" ht="16.5" thickTop="1" thickBot="1" x14ac:dyDescent="0.3">
      <c r="A51" s="20">
        <v>45</v>
      </c>
      <c r="B51" s="41" t="s">
        <v>67</v>
      </c>
      <c r="C51" s="41" t="s">
        <v>63</v>
      </c>
      <c r="D51" s="41" t="s">
        <v>62</v>
      </c>
      <c r="E51" s="43">
        <v>2703.6334000000002</v>
      </c>
      <c r="F51" s="42">
        <v>13518.167000000001</v>
      </c>
      <c r="G51" s="41">
        <f t="shared" si="1"/>
        <v>2973.9967400000005</v>
      </c>
    </row>
    <row r="52" spans="1:7" ht="16.5" thickTop="1" thickBot="1" x14ac:dyDescent="0.3">
      <c r="A52" s="20">
        <v>46</v>
      </c>
      <c r="B52" s="41" t="s">
        <v>67</v>
      </c>
      <c r="C52" s="41" t="s">
        <v>60</v>
      </c>
      <c r="D52" s="41" t="s">
        <v>58</v>
      </c>
      <c r="E52" s="43">
        <v>6684.2735000000002</v>
      </c>
      <c r="F52" s="42">
        <v>20052.820500000002</v>
      </c>
      <c r="G52" s="41">
        <f t="shared" si="1"/>
        <v>4411.6205100000006</v>
      </c>
    </row>
    <row r="53" spans="1:7" ht="16.5" thickTop="1" thickBot="1" x14ac:dyDescent="0.3">
      <c r="A53" s="20">
        <v>47</v>
      </c>
      <c r="B53" s="41" t="s">
        <v>67</v>
      </c>
      <c r="C53" s="41" t="s">
        <v>60</v>
      </c>
      <c r="D53" s="41" t="s">
        <v>55</v>
      </c>
      <c r="E53" s="43">
        <v>118.1998</v>
      </c>
      <c r="F53" s="42">
        <v>9219.5843999999997</v>
      </c>
      <c r="G53" s="41">
        <f t="shared" si="1"/>
        <v>2028.3085679999999</v>
      </c>
    </row>
    <row r="54" spans="1:7" ht="16.5" thickTop="1" thickBot="1" x14ac:dyDescent="0.3">
      <c r="A54" s="20">
        <v>48</v>
      </c>
      <c r="B54" s="41" t="s">
        <v>67</v>
      </c>
      <c r="C54" s="41" t="s">
        <v>61</v>
      </c>
      <c r="D54" s="41" t="s">
        <v>62</v>
      </c>
      <c r="E54" s="43">
        <v>297.63499999999999</v>
      </c>
      <c r="F54" s="42">
        <v>1488.175</v>
      </c>
      <c r="G54" s="41">
        <f t="shared" si="1"/>
        <v>327.39850000000001</v>
      </c>
    </row>
    <row r="55" spans="1:7" ht="16.5" thickTop="1" thickBot="1" x14ac:dyDescent="0.3">
      <c r="A55" s="20">
        <v>49</v>
      </c>
      <c r="B55" s="41" t="s">
        <v>67</v>
      </c>
      <c r="C55" s="41" t="s">
        <v>66</v>
      </c>
      <c r="D55" s="41" t="s">
        <v>57</v>
      </c>
      <c r="E55" s="43">
        <v>1758.64</v>
      </c>
      <c r="F55" s="42">
        <v>861.73360000000002</v>
      </c>
      <c r="G55" s="41">
        <f t="shared" si="1"/>
        <v>189.58139199999999</v>
      </c>
    </row>
    <row r="56" spans="1:7" ht="16.5" thickTop="1" thickBot="1" x14ac:dyDescent="0.3">
      <c r="A56" s="20">
        <v>50</v>
      </c>
      <c r="B56" s="41" t="s">
        <v>67</v>
      </c>
      <c r="C56" s="41" t="s">
        <v>66</v>
      </c>
      <c r="D56" s="41" t="s">
        <v>55</v>
      </c>
      <c r="E56" s="43">
        <v>1771.5008</v>
      </c>
      <c r="F56" s="42">
        <v>138177.0624</v>
      </c>
      <c r="G56" s="41">
        <f t="shared" si="1"/>
        <v>30398.953728</v>
      </c>
    </row>
    <row r="57" spans="1:7" ht="16.5" thickTop="1" thickBot="1" x14ac:dyDescent="0.3">
      <c r="A57" s="20">
        <v>51</v>
      </c>
      <c r="B57" s="41" t="s">
        <v>67</v>
      </c>
      <c r="C57" s="41" t="s">
        <v>56</v>
      </c>
      <c r="D57" s="41" t="s">
        <v>57</v>
      </c>
      <c r="E57" s="43">
        <v>3375.4272000000001</v>
      </c>
      <c r="F57" s="42">
        <v>1653.9593279999999</v>
      </c>
      <c r="G57" s="41">
        <f t="shared" si="1"/>
        <v>363.87105215999998</v>
      </c>
    </row>
    <row r="58" spans="1:7" ht="16.5" thickTop="1" thickBot="1" x14ac:dyDescent="0.3">
      <c r="A58" s="20">
        <v>52</v>
      </c>
      <c r="B58" s="41" t="s">
        <v>67</v>
      </c>
      <c r="C58" s="41" t="s">
        <v>50</v>
      </c>
      <c r="D58" s="41" t="s">
        <v>57</v>
      </c>
      <c r="E58" s="43">
        <v>447.07</v>
      </c>
      <c r="F58" s="42">
        <v>219.0643</v>
      </c>
      <c r="G58" s="41">
        <f t="shared" si="1"/>
        <v>48.194146000000003</v>
      </c>
    </row>
    <row r="59" spans="1:7" ht="16.5" thickTop="1" thickBot="1" x14ac:dyDescent="0.3">
      <c r="A59" s="20">
        <v>53</v>
      </c>
      <c r="B59" s="41" t="s">
        <v>49</v>
      </c>
      <c r="C59" s="41" t="s">
        <v>52</v>
      </c>
      <c r="D59" s="41" t="s">
        <v>53</v>
      </c>
      <c r="E59" s="41">
        <v>234</v>
      </c>
      <c r="F59" s="42">
        <v>351</v>
      </c>
      <c r="G59" s="41">
        <f t="shared" si="1"/>
        <v>77.22</v>
      </c>
    </row>
    <row r="60" spans="1:7" ht="16.5" thickTop="1" thickBot="1" x14ac:dyDescent="0.3">
      <c r="A60" s="20">
        <v>54</v>
      </c>
      <c r="B60" s="41" t="s">
        <v>49</v>
      </c>
      <c r="C60" s="41" t="s">
        <v>52</v>
      </c>
      <c r="D60" s="41" t="s">
        <v>58</v>
      </c>
      <c r="E60" s="41">
        <v>5611</v>
      </c>
      <c r="F60" s="42">
        <v>16833</v>
      </c>
      <c r="G60" s="41">
        <f t="shared" si="1"/>
        <v>3703.26</v>
      </c>
    </row>
    <row r="61" spans="1:7" ht="16.5" thickTop="1" thickBot="1" x14ac:dyDescent="0.3">
      <c r="A61" s="20">
        <v>55</v>
      </c>
      <c r="B61" s="41" t="s">
        <v>49</v>
      </c>
      <c r="C61" s="41" t="s">
        <v>54</v>
      </c>
      <c r="D61" s="41" t="s">
        <v>55</v>
      </c>
      <c r="E61" s="41">
        <v>1771</v>
      </c>
      <c r="F61" s="42">
        <v>138138</v>
      </c>
      <c r="G61" s="41">
        <f t="shared" si="1"/>
        <v>30390.36</v>
      </c>
    </row>
    <row r="62" spans="1:7" ht="16.5" thickTop="1" thickBot="1" x14ac:dyDescent="0.3">
      <c r="A62" s="20">
        <v>56</v>
      </c>
      <c r="B62" s="41" t="s">
        <v>49</v>
      </c>
      <c r="C62" s="41" t="s">
        <v>56</v>
      </c>
      <c r="D62" s="41" t="s">
        <v>57</v>
      </c>
      <c r="E62" s="41">
        <v>744</v>
      </c>
      <c r="F62" s="42">
        <v>364.56</v>
      </c>
      <c r="G62" s="41">
        <f t="shared" si="1"/>
        <v>80.203199999999995</v>
      </c>
    </row>
    <row r="63" spans="1:7" ht="16.5" thickTop="1" thickBot="1" x14ac:dyDescent="0.3">
      <c r="A63" s="20">
        <v>57</v>
      </c>
      <c r="B63" s="41" t="s">
        <v>49</v>
      </c>
      <c r="C63" s="41" t="s">
        <v>56</v>
      </c>
      <c r="D63" s="41" t="s">
        <v>57</v>
      </c>
      <c r="E63" s="41">
        <v>5178</v>
      </c>
      <c r="F63" s="42">
        <v>2537.2199999999998</v>
      </c>
      <c r="G63" s="41">
        <f t="shared" si="1"/>
        <v>558.1884</v>
      </c>
    </row>
    <row r="64" spans="1:7" ht="16.5" thickTop="1" thickBot="1" x14ac:dyDescent="0.3">
      <c r="A64" s="20">
        <v>58</v>
      </c>
      <c r="B64" s="41" t="s">
        <v>49</v>
      </c>
      <c r="C64" s="41" t="s">
        <v>50</v>
      </c>
      <c r="D64" s="41" t="s">
        <v>51</v>
      </c>
      <c r="E64" s="41">
        <v>2861</v>
      </c>
      <c r="F64" s="42">
        <v>3147.1</v>
      </c>
      <c r="G64" s="41">
        <f t="shared" si="1"/>
        <v>692.36199999999997</v>
      </c>
    </row>
    <row r="65" spans="1:7" ht="16.5" thickTop="1" thickBot="1" x14ac:dyDescent="0.3">
      <c r="A65" s="20">
        <v>59</v>
      </c>
      <c r="B65" s="41" t="s">
        <v>59</v>
      </c>
      <c r="C65" s="41" t="s">
        <v>52</v>
      </c>
      <c r="D65" s="41" t="s">
        <v>57</v>
      </c>
      <c r="E65" s="41">
        <v>5889</v>
      </c>
      <c r="F65" s="42">
        <v>2885.61</v>
      </c>
      <c r="G65" s="41">
        <f t="shared" si="1"/>
        <v>634.83420000000001</v>
      </c>
    </row>
    <row r="66" spans="1:7" ht="16.5" thickTop="1" thickBot="1" x14ac:dyDescent="0.3">
      <c r="A66" s="20">
        <v>60</v>
      </c>
      <c r="B66" s="41" t="s">
        <v>59</v>
      </c>
      <c r="C66" s="41" t="s">
        <v>52</v>
      </c>
      <c r="D66" s="41" t="s">
        <v>58</v>
      </c>
      <c r="E66" s="41">
        <v>8953</v>
      </c>
      <c r="F66" s="42">
        <v>26859</v>
      </c>
      <c r="G66" s="41">
        <f t="shared" si="1"/>
        <v>5908.9800000000005</v>
      </c>
    </row>
    <row r="67" spans="1:7" ht="16.5" thickTop="1" thickBot="1" x14ac:dyDescent="0.3">
      <c r="A67" s="20">
        <v>61</v>
      </c>
      <c r="B67" s="41" t="s">
        <v>59</v>
      </c>
      <c r="C67" s="41" t="s">
        <v>52</v>
      </c>
      <c r="D67" s="41" t="s">
        <v>55</v>
      </c>
      <c r="E67" s="41">
        <v>3400</v>
      </c>
      <c r="F67" s="42">
        <v>265200</v>
      </c>
      <c r="G67" s="41">
        <f t="shared" si="1"/>
        <v>58344</v>
      </c>
    </row>
    <row r="68" spans="1:7" ht="16.5" thickTop="1" thickBot="1" x14ac:dyDescent="0.3">
      <c r="A68" s="20">
        <v>62</v>
      </c>
      <c r="B68" s="41" t="s">
        <v>59</v>
      </c>
      <c r="C68" s="41" t="s">
        <v>63</v>
      </c>
      <c r="D68" s="41" t="s">
        <v>53</v>
      </c>
      <c r="E68" s="41">
        <v>230</v>
      </c>
      <c r="F68" s="42">
        <v>345</v>
      </c>
      <c r="G68" s="41">
        <f t="shared" si="1"/>
        <v>75.900000000000006</v>
      </c>
    </row>
    <row r="69" spans="1:7" ht="16.5" thickTop="1" thickBot="1" x14ac:dyDescent="0.3">
      <c r="A69" s="20">
        <v>63</v>
      </c>
      <c r="B69" s="41" t="s">
        <v>59</v>
      </c>
      <c r="C69" s="41" t="s">
        <v>60</v>
      </c>
      <c r="D69" s="41" t="s">
        <v>53</v>
      </c>
      <c r="E69" s="41">
        <v>4394</v>
      </c>
      <c r="F69" s="42">
        <v>6591</v>
      </c>
      <c r="G69" s="41">
        <f t="shared" si="1"/>
        <v>1450.02</v>
      </c>
    </row>
    <row r="70" spans="1:7" ht="16.5" thickTop="1" thickBot="1" x14ac:dyDescent="0.3">
      <c r="A70" s="20">
        <v>64</v>
      </c>
      <c r="B70" s="41" t="s">
        <v>59</v>
      </c>
      <c r="C70" s="41" t="s">
        <v>61</v>
      </c>
      <c r="D70" s="41" t="s">
        <v>62</v>
      </c>
      <c r="E70" s="41">
        <v>124</v>
      </c>
      <c r="F70" s="42">
        <v>620</v>
      </c>
      <c r="G70" s="41">
        <f t="shared" si="1"/>
        <v>136.4</v>
      </c>
    </row>
    <row r="71" spans="1:7" ht="16.5" thickTop="1" thickBot="1" x14ac:dyDescent="0.3">
      <c r="A71" s="20">
        <v>65</v>
      </c>
      <c r="B71" s="41" t="s">
        <v>59</v>
      </c>
      <c r="C71" s="41" t="s">
        <v>54</v>
      </c>
      <c r="D71" s="41" t="s">
        <v>57</v>
      </c>
      <c r="E71" s="41">
        <v>2652</v>
      </c>
      <c r="F71" s="42">
        <v>1299.48</v>
      </c>
      <c r="G71" s="41">
        <f t="shared" ref="G71:G76" si="2">F71*0.22</f>
        <v>285.88560000000001</v>
      </c>
    </row>
    <row r="72" spans="1:7" ht="16.5" thickTop="1" thickBot="1" x14ac:dyDescent="0.3">
      <c r="A72" s="20">
        <v>66</v>
      </c>
      <c r="B72" s="41" t="s">
        <v>59</v>
      </c>
      <c r="C72" s="41" t="s">
        <v>56</v>
      </c>
      <c r="D72" s="41" t="s">
        <v>53</v>
      </c>
      <c r="E72" s="41">
        <v>7817</v>
      </c>
      <c r="F72" s="42">
        <v>11725.5</v>
      </c>
      <c r="G72" s="41">
        <f t="shared" si="2"/>
        <v>2579.61</v>
      </c>
    </row>
    <row r="73" spans="1:7" ht="16.5" thickTop="1" thickBot="1" x14ac:dyDescent="0.3">
      <c r="A73" s="20">
        <v>67</v>
      </c>
      <c r="B73" s="41" t="s">
        <v>59</v>
      </c>
      <c r="C73" s="41" t="s">
        <v>50</v>
      </c>
      <c r="D73" s="41" t="s">
        <v>55</v>
      </c>
      <c r="E73" s="41">
        <v>5636</v>
      </c>
      <c r="F73" s="42">
        <v>439608</v>
      </c>
      <c r="G73" s="41">
        <f t="shared" si="2"/>
        <v>96713.76</v>
      </c>
    </row>
    <row r="74" spans="1:7" ht="16.5" thickTop="1" thickBot="1" x14ac:dyDescent="0.3">
      <c r="A74" s="20">
        <v>68</v>
      </c>
      <c r="B74" s="41" t="s">
        <v>59</v>
      </c>
      <c r="C74" s="41" t="s">
        <v>50</v>
      </c>
      <c r="D74" s="41" t="s">
        <v>57</v>
      </c>
      <c r="E74" s="41">
        <v>6344</v>
      </c>
      <c r="F74" s="42">
        <v>3108.56</v>
      </c>
      <c r="G74" s="41">
        <f t="shared" si="2"/>
        <v>683.88319999999999</v>
      </c>
    </row>
    <row r="75" spans="1:7" ht="16.5" thickTop="1" thickBot="1" x14ac:dyDescent="0.3">
      <c r="A75" s="20">
        <v>69</v>
      </c>
      <c r="B75" s="41" t="s">
        <v>59</v>
      </c>
      <c r="C75" s="41" t="s">
        <v>50</v>
      </c>
      <c r="D75" s="41" t="s">
        <v>62</v>
      </c>
      <c r="E75" s="41">
        <v>2933</v>
      </c>
      <c r="F75" s="42">
        <v>14665</v>
      </c>
      <c r="G75" s="41">
        <f t="shared" si="2"/>
        <v>3226.3</v>
      </c>
    </row>
    <row r="76" spans="1:7" ht="16.5" thickTop="1" thickBot="1" x14ac:dyDescent="0.3">
      <c r="A76" s="20">
        <v>70</v>
      </c>
      <c r="B76" s="41" t="s">
        <v>59</v>
      </c>
      <c r="C76" s="41" t="s">
        <v>50</v>
      </c>
      <c r="D76" s="41" t="s">
        <v>51</v>
      </c>
      <c r="E76" s="41">
        <v>6890</v>
      </c>
      <c r="F76" s="42">
        <v>7579</v>
      </c>
      <c r="G76" s="41">
        <f t="shared" si="2"/>
        <v>1667.38</v>
      </c>
    </row>
    <row r="77" spans="1:7" ht="13.5" thickTop="1" x14ac:dyDescent="0.2">
      <c r="E77" s="17"/>
    </row>
    <row r="78" spans="1:7" x14ac:dyDescent="0.2">
      <c r="E78" s="17"/>
    </row>
    <row r="79" spans="1:7" x14ac:dyDescent="0.2">
      <c r="E79" s="17"/>
    </row>
    <row r="80" spans="1:7" x14ac:dyDescent="0.2">
      <c r="E80" s="17"/>
    </row>
    <row r="84" spans="2:5" x14ac:dyDescent="0.2">
      <c r="B84" s="18"/>
      <c r="E84" s="19"/>
    </row>
    <row r="85" spans="2:5" x14ac:dyDescent="0.2">
      <c r="B85" s="18"/>
    </row>
    <row r="86" spans="2:5" x14ac:dyDescent="0.2">
      <c r="B86" s="18"/>
    </row>
    <row r="87" spans="2:5" x14ac:dyDescent="0.2">
      <c r="B87" s="18"/>
    </row>
    <row r="88" spans="2:5" x14ac:dyDescent="0.2">
      <c r="B88" s="18"/>
    </row>
    <row r="89" spans="2:5" x14ac:dyDescent="0.2">
      <c r="B89" s="19"/>
    </row>
  </sheetData>
  <sortState xmlns:xlrd2="http://schemas.microsoft.com/office/spreadsheetml/2017/richdata2" ref="B7:G76">
    <sortCondition ref="B6:B76"/>
  </sortState>
  <phoneticPr fontId="0" type="noConversion"/>
  <pageMargins left="0.78740157499999996" right="0.78740157499999996" top="0.984251969" bottom="0.984251969" header="0.4921259845" footer="0.4921259845"/>
  <headerFooter alignWithMargins="0">
    <oddHeader>&amp;A</oddHeader>
    <oddFooter>Strana &amp;P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9"/>
  <sheetViews>
    <sheetView workbookViewId="0">
      <pane ySplit="5" topLeftCell="A6" activePane="bottomLeft" state="frozen"/>
      <selection pane="bottomLeft" activeCell="G17" sqref="G17"/>
    </sheetView>
  </sheetViews>
  <sheetFormatPr defaultColWidth="9.28515625" defaultRowHeight="12.75" outlineLevelRow="3" x14ac:dyDescent="0.2"/>
  <cols>
    <col min="1" max="2" width="9.28515625" style="22"/>
    <col min="3" max="3" width="15.28515625" style="22" customWidth="1"/>
    <col min="4" max="4" width="17.42578125" style="22" customWidth="1"/>
    <col min="5" max="5" width="26" style="22" customWidth="1"/>
    <col min="6" max="16384" width="9.28515625" style="22"/>
  </cols>
  <sheetData>
    <row r="1" spans="1:12" ht="18" x14ac:dyDescent="0.25">
      <c r="A1" s="16" t="s">
        <v>20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8" x14ac:dyDescent="0.25">
      <c r="A2" s="29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5" spans="1:12" ht="15.75" x14ac:dyDescent="0.25">
      <c r="A5" s="30" t="s">
        <v>16</v>
      </c>
      <c r="B5" s="30" t="s">
        <v>17</v>
      </c>
      <c r="C5" s="30" t="s">
        <v>18</v>
      </c>
      <c r="D5" s="30" t="s">
        <v>14</v>
      </c>
      <c r="E5" s="30" t="s">
        <v>15</v>
      </c>
    </row>
    <row r="6" spans="1:12" outlineLevel="3" x14ac:dyDescent="0.2">
      <c r="A6" s="22" t="s">
        <v>1</v>
      </c>
      <c r="B6" s="22" t="s">
        <v>8</v>
      </c>
      <c r="C6" s="22" t="s">
        <v>12</v>
      </c>
      <c r="D6" s="22">
        <v>7</v>
      </c>
      <c r="E6" s="22">
        <v>272</v>
      </c>
    </row>
    <row r="7" spans="1:12" outlineLevel="3" x14ac:dyDescent="0.2">
      <c r="A7" s="22" t="s">
        <v>1</v>
      </c>
      <c r="B7" s="22" t="s">
        <v>10</v>
      </c>
      <c r="C7" s="22" t="s">
        <v>12</v>
      </c>
      <c r="D7" s="22">
        <v>12</v>
      </c>
      <c r="E7" s="22">
        <v>349</v>
      </c>
    </row>
    <row r="8" spans="1:12" outlineLevel="3" x14ac:dyDescent="0.2">
      <c r="A8" s="22" t="s">
        <v>1</v>
      </c>
      <c r="B8" s="22" t="s">
        <v>9</v>
      </c>
      <c r="C8" s="22" t="s">
        <v>12</v>
      </c>
      <c r="D8" s="22">
        <v>12</v>
      </c>
      <c r="E8" s="22">
        <v>286</v>
      </c>
    </row>
    <row r="9" spans="1:12" outlineLevel="3" x14ac:dyDescent="0.2">
      <c r="A9" s="22" t="s">
        <v>1</v>
      </c>
      <c r="B9" s="22" t="s">
        <v>6</v>
      </c>
      <c r="C9" s="22" t="s">
        <v>12</v>
      </c>
      <c r="D9" s="22">
        <v>14</v>
      </c>
      <c r="E9" s="22">
        <v>129</v>
      </c>
    </row>
    <row r="10" spans="1:12" outlineLevel="3" x14ac:dyDescent="0.2">
      <c r="A10" s="22" t="s">
        <v>1</v>
      </c>
      <c r="B10" s="22" t="s">
        <v>7</v>
      </c>
      <c r="C10" s="22" t="s">
        <v>12</v>
      </c>
      <c r="D10" s="22">
        <v>14</v>
      </c>
      <c r="E10" s="22">
        <v>282</v>
      </c>
    </row>
    <row r="11" spans="1:12" outlineLevel="2" x14ac:dyDescent="0.2">
      <c r="C11" s="38" t="s">
        <v>109</v>
      </c>
      <c r="E11" s="22">
        <f>SUBTOTAL(9,E6:E10)</f>
        <v>1318</v>
      </c>
    </row>
    <row r="12" spans="1:12" outlineLevel="3" x14ac:dyDescent="0.2">
      <c r="A12" s="22" t="s">
        <v>1</v>
      </c>
      <c r="B12" s="22" t="s">
        <v>6</v>
      </c>
      <c r="C12" s="22" t="s">
        <v>11</v>
      </c>
      <c r="D12" s="22">
        <v>7</v>
      </c>
      <c r="E12" s="22">
        <v>120</v>
      </c>
    </row>
    <row r="13" spans="1:12" outlineLevel="3" x14ac:dyDescent="0.2">
      <c r="A13" s="22" t="s">
        <v>1</v>
      </c>
      <c r="B13" s="22" t="s">
        <v>8</v>
      </c>
      <c r="C13" s="22" t="s">
        <v>11</v>
      </c>
      <c r="D13" s="22">
        <v>7</v>
      </c>
      <c r="E13" s="22">
        <v>412</v>
      </c>
    </row>
    <row r="14" spans="1:12" outlineLevel="3" x14ac:dyDescent="0.2">
      <c r="A14" s="22" t="s">
        <v>1</v>
      </c>
      <c r="B14" s="22" t="s">
        <v>9</v>
      </c>
      <c r="C14" s="22" t="s">
        <v>11</v>
      </c>
      <c r="D14" s="22">
        <v>7</v>
      </c>
      <c r="E14" s="22">
        <v>122</v>
      </c>
    </row>
    <row r="15" spans="1:12" outlineLevel="3" x14ac:dyDescent="0.2">
      <c r="A15" s="22" t="s">
        <v>1</v>
      </c>
      <c r="B15" s="22" t="s">
        <v>10</v>
      </c>
      <c r="C15" s="22" t="s">
        <v>11</v>
      </c>
      <c r="D15" s="22">
        <v>11</v>
      </c>
      <c r="E15" s="22">
        <v>274</v>
      </c>
    </row>
    <row r="16" spans="1:12" outlineLevel="3" x14ac:dyDescent="0.2">
      <c r="A16" s="22" t="s">
        <v>1</v>
      </c>
      <c r="B16" s="22" t="s">
        <v>7</v>
      </c>
      <c r="C16" s="22" t="s">
        <v>11</v>
      </c>
      <c r="D16" s="22">
        <v>14</v>
      </c>
      <c r="E16" s="22">
        <v>318</v>
      </c>
    </row>
    <row r="17" spans="1:5" outlineLevel="2" x14ac:dyDescent="0.2">
      <c r="C17" s="38" t="s">
        <v>110</v>
      </c>
      <c r="E17" s="22">
        <f>SUBTOTAL(9,E12:E16)</f>
        <v>1246</v>
      </c>
    </row>
    <row r="18" spans="1:5" outlineLevel="3" x14ac:dyDescent="0.2">
      <c r="A18" s="22" t="s">
        <v>1</v>
      </c>
      <c r="B18" s="22" t="s">
        <v>10</v>
      </c>
      <c r="C18" s="22" t="s">
        <v>13</v>
      </c>
      <c r="D18" s="22">
        <v>7</v>
      </c>
      <c r="E18" s="22">
        <v>447</v>
      </c>
    </row>
    <row r="19" spans="1:5" outlineLevel="3" x14ac:dyDescent="0.2">
      <c r="A19" s="22" t="s">
        <v>1</v>
      </c>
      <c r="B19" s="22" t="s">
        <v>9</v>
      </c>
      <c r="C19" s="22" t="s">
        <v>13</v>
      </c>
      <c r="D19" s="22">
        <v>7</v>
      </c>
      <c r="E19" s="22">
        <v>260</v>
      </c>
    </row>
    <row r="20" spans="1:5" outlineLevel="3" x14ac:dyDescent="0.2">
      <c r="A20" s="22" t="s">
        <v>1</v>
      </c>
      <c r="B20" s="22" t="s">
        <v>6</v>
      </c>
      <c r="C20" s="22" t="s">
        <v>13</v>
      </c>
      <c r="D20" s="22">
        <v>11</v>
      </c>
      <c r="E20" s="22">
        <v>391</v>
      </c>
    </row>
    <row r="21" spans="1:5" outlineLevel="3" x14ac:dyDescent="0.2">
      <c r="A21" s="22" t="s">
        <v>1</v>
      </c>
      <c r="B21" s="22" t="s">
        <v>7</v>
      </c>
      <c r="C21" s="22" t="s">
        <v>13</v>
      </c>
      <c r="D21" s="22">
        <v>14</v>
      </c>
      <c r="E21" s="22">
        <v>405</v>
      </c>
    </row>
    <row r="22" spans="1:5" outlineLevel="3" x14ac:dyDescent="0.2">
      <c r="A22" s="22" t="s">
        <v>1</v>
      </c>
      <c r="B22" s="22" t="s">
        <v>8</v>
      </c>
      <c r="C22" s="22" t="s">
        <v>13</v>
      </c>
      <c r="D22" s="22">
        <v>14</v>
      </c>
      <c r="E22" s="22">
        <v>415</v>
      </c>
    </row>
    <row r="23" spans="1:5" outlineLevel="2" x14ac:dyDescent="0.2">
      <c r="C23" s="38" t="s">
        <v>111</v>
      </c>
      <c r="E23" s="22">
        <f>SUBTOTAL(9,E18:E22)</f>
        <v>1918</v>
      </c>
    </row>
    <row r="24" spans="1:5" outlineLevel="1" x14ac:dyDescent="0.2">
      <c r="A24" s="38" t="s">
        <v>91</v>
      </c>
      <c r="E24" s="22">
        <f>SUBTOTAL(9,E6:E22)</f>
        <v>4482</v>
      </c>
    </row>
    <row r="25" spans="1:5" outlineLevel="3" x14ac:dyDescent="0.2">
      <c r="A25" s="22" t="s">
        <v>3</v>
      </c>
      <c r="B25" s="22" t="s">
        <v>7</v>
      </c>
      <c r="C25" s="22" t="s">
        <v>12</v>
      </c>
      <c r="D25" s="22">
        <v>11</v>
      </c>
      <c r="E25" s="22">
        <v>206</v>
      </c>
    </row>
    <row r="26" spans="1:5" outlineLevel="3" x14ac:dyDescent="0.2">
      <c r="A26" s="22" t="s">
        <v>3</v>
      </c>
      <c r="B26" s="22" t="s">
        <v>8</v>
      </c>
      <c r="C26" s="22" t="s">
        <v>12</v>
      </c>
      <c r="D26" s="22">
        <v>11</v>
      </c>
      <c r="E26" s="22">
        <v>134</v>
      </c>
    </row>
    <row r="27" spans="1:5" outlineLevel="3" x14ac:dyDescent="0.2">
      <c r="A27" s="22" t="s">
        <v>3</v>
      </c>
      <c r="B27" s="22" t="s">
        <v>9</v>
      </c>
      <c r="C27" s="22" t="s">
        <v>12</v>
      </c>
      <c r="D27" s="22">
        <v>11</v>
      </c>
      <c r="E27" s="22">
        <v>170</v>
      </c>
    </row>
    <row r="28" spans="1:5" outlineLevel="3" x14ac:dyDescent="0.2">
      <c r="A28" s="22" t="s">
        <v>3</v>
      </c>
      <c r="B28" s="22" t="s">
        <v>10</v>
      </c>
      <c r="C28" s="22" t="s">
        <v>12</v>
      </c>
      <c r="D28" s="22">
        <v>12</v>
      </c>
      <c r="E28" s="22">
        <v>345</v>
      </c>
    </row>
    <row r="29" spans="1:5" outlineLevel="3" x14ac:dyDescent="0.2">
      <c r="A29" s="22" t="s">
        <v>3</v>
      </c>
      <c r="B29" s="22" t="s">
        <v>6</v>
      </c>
      <c r="C29" s="22" t="s">
        <v>12</v>
      </c>
      <c r="D29" s="22">
        <v>14</v>
      </c>
      <c r="E29" s="22">
        <v>316</v>
      </c>
    </row>
    <row r="30" spans="1:5" outlineLevel="2" x14ac:dyDescent="0.2">
      <c r="C30" s="38" t="s">
        <v>109</v>
      </c>
      <c r="E30" s="22">
        <f>SUBTOTAL(9,E25:E29)</f>
        <v>1171</v>
      </c>
    </row>
    <row r="31" spans="1:5" outlineLevel="3" x14ac:dyDescent="0.2">
      <c r="A31" s="22" t="s">
        <v>3</v>
      </c>
      <c r="B31" s="22" t="s">
        <v>6</v>
      </c>
      <c r="C31" s="22" t="s">
        <v>11</v>
      </c>
      <c r="D31" s="22">
        <v>7</v>
      </c>
      <c r="E31" s="22">
        <v>178</v>
      </c>
    </row>
    <row r="32" spans="1:5" outlineLevel="3" x14ac:dyDescent="0.2">
      <c r="A32" s="22" t="s">
        <v>3</v>
      </c>
      <c r="B32" s="22" t="s">
        <v>7</v>
      </c>
      <c r="C32" s="22" t="s">
        <v>11</v>
      </c>
      <c r="D32" s="22">
        <v>12</v>
      </c>
      <c r="E32" s="22">
        <v>446</v>
      </c>
    </row>
    <row r="33" spans="1:5" outlineLevel="3" x14ac:dyDescent="0.2">
      <c r="A33" s="22" t="s">
        <v>3</v>
      </c>
      <c r="B33" s="22" t="s">
        <v>8</v>
      </c>
      <c r="C33" s="22" t="s">
        <v>11</v>
      </c>
      <c r="D33" s="22">
        <v>12</v>
      </c>
      <c r="E33" s="22">
        <v>441</v>
      </c>
    </row>
    <row r="34" spans="1:5" outlineLevel="3" x14ac:dyDescent="0.2">
      <c r="A34" s="22" t="s">
        <v>3</v>
      </c>
      <c r="B34" s="22" t="s">
        <v>9</v>
      </c>
      <c r="C34" s="22" t="s">
        <v>11</v>
      </c>
      <c r="D34" s="22">
        <v>12</v>
      </c>
      <c r="E34" s="22">
        <v>124</v>
      </c>
    </row>
    <row r="35" spans="1:5" outlineLevel="3" x14ac:dyDescent="0.2">
      <c r="A35" s="22" t="s">
        <v>3</v>
      </c>
      <c r="B35" s="22" t="s">
        <v>10</v>
      </c>
      <c r="C35" s="22" t="s">
        <v>11</v>
      </c>
      <c r="D35" s="22">
        <v>14</v>
      </c>
      <c r="E35" s="22">
        <v>354</v>
      </c>
    </row>
    <row r="36" spans="1:5" outlineLevel="2" x14ac:dyDescent="0.2">
      <c r="C36" s="38" t="s">
        <v>110</v>
      </c>
      <c r="E36" s="22">
        <f>SUBTOTAL(9,E31:E35)</f>
        <v>1543</v>
      </c>
    </row>
    <row r="37" spans="1:5" outlineLevel="3" x14ac:dyDescent="0.2">
      <c r="A37" s="22" t="s">
        <v>3</v>
      </c>
      <c r="B37" s="22" t="s">
        <v>6</v>
      </c>
      <c r="C37" s="22" t="s">
        <v>13</v>
      </c>
      <c r="D37" s="22">
        <v>7</v>
      </c>
      <c r="E37" s="22">
        <v>178</v>
      </c>
    </row>
    <row r="38" spans="1:5" outlineLevel="3" x14ac:dyDescent="0.2">
      <c r="A38" s="22" t="s">
        <v>3</v>
      </c>
      <c r="B38" s="22" t="s">
        <v>10</v>
      </c>
      <c r="C38" s="22" t="s">
        <v>13</v>
      </c>
      <c r="D38" s="22">
        <v>7</v>
      </c>
      <c r="E38" s="22">
        <v>332</v>
      </c>
    </row>
    <row r="39" spans="1:5" outlineLevel="3" x14ac:dyDescent="0.2">
      <c r="A39" s="22" t="s">
        <v>3</v>
      </c>
      <c r="B39" s="22" t="s">
        <v>7</v>
      </c>
      <c r="C39" s="22" t="s">
        <v>13</v>
      </c>
      <c r="D39" s="22">
        <v>11</v>
      </c>
      <c r="E39" s="22">
        <v>267</v>
      </c>
    </row>
    <row r="40" spans="1:5" outlineLevel="3" x14ac:dyDescent="0.2">
      <c r="A40" s="22" t="s">
        <v>3</v>
      </c>
      <c r="B40" s="22" t="s">
        <v>8</v>
      </c>
      <c r="C40" s="22" t="s">
        <v>13</v>
      </c>
      <c r="D40" s="22">
        <v>11</v>
      </c>
      <c r="E40" s="22">
        <v>385</v>
      </c>
    </row>
    <row r="41" spans="1:5" outlineLevel="3" x14ac:dyDescent="0.2">
      <c r="A41" s="22" t="s">
        <v>3</v>
      </c>
      <c r="B41" s="22" t="s">
        <v>9</v>
      </c>
      <c r="C41" s="22" t="s">
        <v>13</v>
      </c>
      <c r="D41" s="22">
        <v>11</v>
      </c>
      <c r="E41" s="22">
        <v>432</v>
      </c>
    </row>
    <row r="42" spans="1:5" outlineLevel="2" x14ac:dyDescent="0.2">
      <c r="C42" s="38" t="s">
        <v>111</v>
      </c>
      <c r="E42" s="22">
        <f>SUBTOTAL(9,E37:E41)</f>
        <v>1594</v>
      </c>
    </row>
    <row r="43" spans="1:5" outlineLevel="1" x14ac:dyDescent="0.2">
      <c r="A43" s="38" t="s">
        <v>92</v>
      </c>
      <c r="E43" s="22">
        <f>SUBTOTAL(9,E25:E41)</f>
        <v>4308</v>
      </c>
    </row>
    <row r="44" spans="1:5" outlineLevel="3" x14ac:dyDescent="0.2">
      <c r="A44" s="22" t="s">
        <v>0</v>
      </c>
      <c r="B44" s="22" t="s">
        <v>6</v>
      </c>
      <c r="C44" s="22" t="s">
        <v>12</v>
      </c>
      <c r="D44" s="22">
        <v>12</v>
      </c>
      <c r="E44" s="22">
        <v>460</v>
      </c>
    </row>
    <row r="45" spans="1:5" outlineLevel="3" x14ac:dyDescent="0.2">
      <c r="A45" s="22" t="s">
        <v>0</v>
      </c>
      <c r="B45" s="22" t="s">
        <v>10</v>
      </c>
      <c r="C45" s="22" t="s">
        <v>12</v>
      </c>
      <c r="D45" s="22">
        <v>12</v>
      </c>
      <c r="E45" s="22">
        <v>259</v>
      </c>
    </row>
    <row r="46" spans="1:5" outlineLevel="3" x14ac:dyDescent="0.2">
      <c r="A46" s="22" t="s">
        <v>0</v>
      </c>
      <c r="B46" s="22" t="s">
        <v>9</v>
      </c>
      <c r="C46" s="22" t="s">
        <v>12</v>
      </c>
      <c r="D46" s="22">
        <v>12</v>
      </c>
      <c r="E46" s="22">
        <v>289</v>
      </c>
    </row>
    <row r="47" spans="1:5" outlineLevel="3" x14ac:dyDescent="0.2">
      <c r="A47" s="22" t="s">
        <v>0</v>
      </c>
      <c r="B47" s="22" t="s">
        <v>7</v>
      </c>
      <c r="C47" s="22" t="s">
        <v>12</v>
      </c>
      <c r="D47" s="22">
        <v>14</v>
      </c>
      <c r="E47" s="22">
        <v>232</v>
      </c>
    </row>
    <row r="48" spans="1:5" outlineLevel="3" x14ac:dyDescent="0.2">
      <c r="A48" s="22" t="s">
        <v>0</v>
      </c>
      <c r="B48" s="22" t="s">
        <v>8</v>
      </c>
      <c r="C48" s="22" t="s">
        <v>12</v>
      </c>
      <c r="D48" s="22">
        <v>14</v>
      </c>
      <c r="E48" s="22">
        <v>457</v>
      </c>
    </row>
    <row r="49" spans="1:5" outlineLevel="2" x14ac:dyDescent="0.2">
      <c r="C49" s="38" t="s">
        <v>109</v>
      </c>
      <c r="E49" s="22">
        <f>SUBTOTAL(9,E44:E48)</f>
        <v>1697</v>
      </c>
    </row>
    <row r="50" spans="1:5" outlineLevel="3" x14ac:dyDescent="0.2">
      <c r="A50" s="22" t="s">
        <v>0</v>
      </c>
      <c r="B50" s="22" t="s">
        <v>6</v>
      </c>
      <c r="C50" s="22" t="s">
        <v>11</v>
      </c>
      <c r="D50" s="22">
        <v>11</v>
      </c>
      <c r="E50" s="22">
        <v>489</v>
      </c>
    </row>
    <row r="51" spans="1:5" outlineLevel="3" x14ac:dyDescent="0.2">
      <c r="A51" s="22" t="s">
        <v>0</v>
      </c>
      <c r="B51" s="22" t="s">
        <v>10</v>
      </c>
      <c r="C51" s="22" t="s">
        <v>11</v>
      </c>
      <c r="D51" s="22">
        <v>11</v>
      </c>
      <c r="E51" s="22">
        <v>490</v>
      </c>
    </row>
    <row r="52" spans="1:5" outlineLevel="3" x14ac:dyDescent="0.2">
      <c r="A52" s="22" t="s">
        <v>0</v>
      </c>
      <c r="B52" s="22" t="s">
        <v>9</v>
      </c>
      <c r="C52" s="22" t="s">
        <v>11</v>
      </c>
      <c r="D52" s="22">
        <v>11</v>
      </c>
      <c r="E52" s="22">
        <v>487</v>
      </c>
    </row>
    <row r="53" spans="1:5" outlineLevel="3" x14ac:dyDescent="0.2">
      <c r="A53" s="22" t="s">
        <v>0</v>
      </c>
      <c r="B53" s="22" t="s">
        <v>7</v>
      </c>
      <c r="C53" s="22" t="s">
        <v>11</v>
      </c>
      <c r="D53" s="22">
        <v>14</v>
      </c>
      <c r="E53" s="22">
        <v>260</v>
      </c>
    </row>
    <row r="54" spans="1:5" outlineLevel="3" x14ac:dyDescent="0.2">
      <c r="A54" s="22" t="s">
        <v>0</v>
      </c>
      <c r="B54" s="22" t="s">
        <v>8</v>
      </c>
      <c r="C54" s="22" t="s">
        <v>11</v>
      </c>
      <c r="D54" s="22">
        <v>14</v>
      </c>
      <c r="E54" s="22">
        <v>401</v>
      </c>
    </row>
    <row r="55" spans="1:5" outlineLevel="2" x14ac:dyDescent="0.2">
      <c r="C55" s="38" t="s">
        <v>110</v>
      </c>
      <c r="E55" s="22">
        <f>SUBTOTAL(9,E50:E54)</f>
        <v>2127</v>
      </c>
    </row>
    <row r="56" spans="1:5" outlineLevel="3" x14ac:dyDescent="0.2">
      <c r="A56" s="22" t="s">
        <v>0</v>
      </c>
      <c r="B56" s="22" t="s">
        <v>6</v>
      </c>
      <c r="C56" s="22" t="s">
        <v>13</v>
      </c>
      <c r="D56" s="22">
        <v>7</v>
      </c>
      <c r="E56" s="22">
        <v>471</v>
      </c>
    </row>
    <row r="57" spans="1:5" outlineLevel="3" x14ac:dyDescent="0.2">
      <c r="A57" s="22" t="s">
        <v>0</v>
      </c>
      <c r="B57" s="22" t="s">
        <v>10</v>
      </c>
      <c r="C57" s="22" t="s">
        <v>13</v>
      </c>
      <c r="D57" s="22">
        <v>12</v>
      </c>
      <c r="E57" s="22">
        <v>386</v>
      </c>
    </row>
    <row r="58" spans="1:5" outlineLevel="3" x14ac:dyDescent="0.2">
      <c r="A58" s="22" t="s">
        <v>0</v>
      </c>
      <c r="B58" s="22" t="s">
        <v>7</v>
      </c>
      <c r="C58" s="22" t="s">
        <v>13</v>
      </c>
      <c r="D58" s="22">
        <v>14</v>
      </c>
      <c r="E58" s="22">
        <v>491</v>
      </c>
    </row>
    <row r="59" spans="1:5" outlineLevel="3" x14ac:dyDescent="0.2">
      <c r="A59" s="22" t="s">
        <v>0</v>
      </c>
      <c r="B59" s="22" t="s">
        <v>8</v>
      </c>
      <c r="C59" s="22" t="s">
        <v>13</v>
      </c>
      <c r="D59" s="22">
        <v>14</v>
      </c>
      <c r="E59" s="22">
        <v>479</v>
      </c>
    </row>
    <row r="60" spans="1:5" outlineLevel="3" x14ac:dyDescent="0.2">
      <c r="A60" s="22" t="s">
        <v>0</v>
      </c>
      <c r="B60" s="22" t="s">
        <v>9</v>
      </c>
      <c r="C60" s="22" t="s">
        <v>13</v>
      </c>
      <c r="D60" s="22">
        <v>14</v>
      </c>
      <c r="E60" s="22">
        <v>373</v>
      </c>
    </row>
    <row r="61" spans="1:5" outlineLevel="2" x14ac:dyDescent="0.2">
      <c r="C61" s="38" t="s">
        <v>111</v>
      </c>
      <c r="E61" s="22">
        <f>SUBTOTAL(9,E56:E60)</f>
        <v>2200</v>
      </c>
    </row>
    <row r="62" spans="1:5" outlineLevel="1" x14ac:dyDescent="0.2">
      <c r="A62" s="38" t="s">
        <v>93</v>
      </c>
      <c r="E62" s="22">
        <f>SUBTOTAL(9,E44:E60)</f>
        <v>6024</v>
      </c>
    </row>
    <row r="63" spans="1:5" outlineLevel="3" x14ac:dyDescent="0.2">
      <c r="A63" s="22" t="s">
        <v>5</v>
      </c>
      <c r="B63" s="22" t="s">
        <v>7</v>
      </c>
      <c r="C63" s="22" t="s">
        <v>12</v>
      </c>
      <c r="D63" s="22">
        <v>7</v>
      </c>
      <c r="E63" s="22">
        <v>195</v>
      </c>
    </row>
    <row r="64" spans="1:5" outlineLevel="3" x14ac:dyDescent="0.2">
      <c r="A64" s="22" t="s">
        <v>5</v>
      </c>
      <c r="B64" s="22" t="s">
        <v>8</v>
      </c>
      <c r="C64" s="22" t="s">
        <v>12</v>
      </c>
      <c r="D64" s="22">
        <v>12</v>
      </c>
      <c r="E64" s="22">
        <v>317</v>
      </c>
    </row>
    <row r="65" spans="1:5" outlineLevel="3" x14ac:dyDescent="0.2">
      <c r="A65" s="22" t="s">
        <v>5</v>
      </c>
      <c r="B65" s="22" t="s">
        <v>9</v>
      </c>
      <c r="C65" s="22" t="s">
        <v>12</v>
      </c>
      <c r="D65" s="22">
        <v>12</v>
      </c>
      <c r="E65" s="22">
        <v>404</v>
      </c>
    </row>
    <row r="66" spans="1:5" outlineLevel="3" x14ac:dyDescent="0.2">
      <c r="A66" s="22" t="s">
        <v>5</v>
      </c>
      <c r="B66" s="22" t="s">
        <v>6</v>
      </c>
      <c r="C66" s="22" t="s">
        <v>12</v>
      </c>
      <c r="D66" s="22">
        <v>14</v>
      </c>
      <c r="E66" s="22">
        <v>416</v>
      </c>
    </row>
    <row r="67" spans="1:5" outlineLevel="3" x14ac:dyDescent="0.2">
      <c r="A67" s="22" t="s">
        <v>5</v>
      </c>
      <c r="B67" s="22" t="s">
        <v>10</v>
      </c>
      <c r="C67" s="22" t="s">
        <v>12</v>
      </c>
      <c r="D67" s="22">
        <v>14</v>
      </c>
      <c r="E67" s="22">
        <v>324</v>
      </c>
    </row>
    <row r="68" spans="1:5" outlineLevel="2" x14ac:dyDescent="0.2">
      <c r="C68" s="38" t="s">
        <v>109</v>
      </c>
      <c r="E68" s="22">
        <f>SUBTOTAL(9,E63:E67)</f>
        <v>1656</v>
      </c>
    </row>
    <row r="69" spans="1:5" outlineLevel="3" x14ac:dyDescent="0.2">
      <c r="A69" s="22" t="s">
        <v>5</v>
      </c>
      <c r="B69" s="22" t="s">
        <v>6</v>
      </c>
      <c r="C69" s="22" t="s">
        <v>11</v>
      </c>
      <c r="D69" s="22">
        <v>7</v>
      </c>
      <c r="E69" s="22">
        <v>157</v>
      </c>
    </row>
    <row r="70" spans="1:5" outlineLevel="3" x14ac:dyDescent="0.2">
      <c r="A70" s="22" t="s">
        <v>5</v>
      </c>
      <c r="B70" s="22" t="s">
        <v>7</v>
      </c>
      <c r="C70" s="22" t="s">
        <v>11</v>
      </c>
      <c r="D70" s="22">
        <v>7</v>
      </c>
      <c r="E70" s="22">
        <v>164</v>
      </c>
    </row>
    <row r="71" spans="1:5" outlineLevel="3" x14ac:dyDescent="0.2">
      <c r="A71" s="22" t="s">
        <v>5</v>
      </c>
      <c r="B71" s="22" t="s">
        <v>8</v>
      </c>
      <c r="C71" s="22" t="s">
        <v>11</v>
      </c>
      <c r="D71" s="22">
        <v>11</v>
      </c>
      <c r="E71" s="22">
        <v>392</v>
      </c>
    </row>
    <row r="72" spans="1:5" outlineLevel="3" x14ac:dyDescent="0.2">
      <c r="A72" s="22" t="s">
        <v>5</v>
      </c>
      <c r="B72" s="22" t="s">
        <v>9</v>
      </c>
      <c r="C72" s="22" t="s">
        <v>11</v>
      </c>
      <c r="D72" s="22">
        <v>11</v>
      </c>
      <c r="E72" s="22">
        <v>135</v>
      </c>
    </row>
    <row r="73" spans="1:5" outlineLevel="3" x14ac:dyDescent="0.2">
      <c r="A73" s="22" t="s">
        <v>5</v>
      </c>
      <c r="B73" s="22" t="s">
        <v>10</v>
      </c>
      <c r="C73" s="22" t="s">
        <v>11</v>
      </c>
      <c r="D73" s="22">
        <v>12</v>
      </c>
      <c r="E73" s="22">
        <v>235</v>
      </c>
    </row>
    <row r="74" spans="1:5" outlineLevel="2" x14ac:dyDescent="0.2">
      <c r="C74" s="38" t="s">
        <v>110</v>
      </c>
      <c r="E74" s="22">
        <f>SUBTOTAL(9,E69:E73)</f>
        <v>1083</v>
      </c>
    </row>
    <row r="75" spans="1:5" outlineLevel="3" x14ac:dyDescent="0.2">
      <c r="A75" s="22" t="s">
        <v>5</v>
      </c>
      <c r="B75" s="22" t="s">
        <v>8</v>
      </c>
      <c r="C75" s="22" t="s">
        <v>13</v>
      </c>
      <c r="D75" s="22">
        <v>7</v>
      </c>
      <c r="E75" s="22">
        <v>139</v>
      </c>
    </row>
    <row r="76" spans="1:5" outlineLevel="3" x14ac:dyDescent="0.2">
      <c r="A76" s="22" t="s">
        <v>5</v>
      </c>
      <c r="B76" s="22" t="s">
        <v>10</v>
      </c>
      <c r="C76" s="22" t="s">
        <v>13</v>
      </c>
      <c r="D76" s="22">
        <v>11</v>
      </c>
      <c r="E76" s="22">
        <v>422</v>
      </c>
    </row>
    <row r="77" spans="1:5" outlineLevel="3" x14ac:dyDescent="0.2">
      <c r="A77" s="22" t="s">
        <v>5</v>
      </c>
      <c r="B77" s="22" t="s">
        <v>9</v>
      </c>
      <c r="C77" s="22" t="s">
        <v>13</v>
      </c>
      <c r="D77" s="22">
        <v>11</v>
      </c>
      <c r="E77" s="22">
        <v>282</v>
      </c>
    </row>
    <row r="78" spans="1:5" outlineLevel="3" x14ac:dyDescent="0.2">
      <c r="A78" s="22" t="s">
        <v>5</v>
      </c>
      <c r="B78" s="22" t="s">
        <v>6</v>
      </c>
      <c r="C78" s="22" t="s">
        <v>13</v>
      </c>
      <c r="D78" s="22">
        <v>14</v>
      </c>
      <c r="E78" s="22">
        <v>193</v>
      </c>
    </row>
    <row r="79" spans="1:5" outlineLevel="3" x14ac:dyDescent="0.2">
      <c r="A79" s="22" t="s">
        <v>5</v>
      </c>
      <c r="B79" s="22" t="s">
        <v>7</v>
      </c>
      <c r="C79" s="22" t="s">
        <v>13</v>
      </c>
      <c r="D79" s="22">
        <v>14</v>
      </c>
      <c r="E79" s="22">
        <v>191</v>
      </c>
    </row>
    <row r="80" spans="1:5" outlineLevel="2" x14ac:dyDescent="0.2">
      <c r="C80" s="38" t="s">
        <v>111</v>
      </c>
      <c r="E80" s="22">
        <f>SUBTOTAL(9,E75:E79)</f>
        <v>1227</v>
      </c>
    </row>
    <row r="81" spans="1:5" outlineLevel="1" x14ac:dyDescent="0.2">
      <c r="A81" s="38" t="s">
        <v>94</v>
      </c>
      <c r="E81" s="22">
        <f>SUBTOTAL(9,E63:E79)</f>
        <v>3966</v>
      </c>
    </row>
    <row r="82" spans="1:5" outlineLevel="3" x14ac:dyDescent="0.2">
      <c r="A82" s="22" t="s">
        <v>2</v>
      </c>
      <c r="B82" s="22" t="s">
        <v>7</v>
      </c>
      <c r="C82" s="22" t="s">
        <v>12</v>
      </c>
      <c r="D82" s="22">
        <v>7</v>
      </c>
      <c r="E82" s="22">
        <v>457</v>
      </c>
    </row>
    <row r="83" spans="1:5" outlineLevel="3" x14ac:dyDescent="0.2">
      <c r="A83" s="22" t="s">
        <v>2</v>
      </c>
      <c r="B83" s="22" t="s">
        <v>10</v>
      </c>
      <c r="C83" s="22" t="s">
        <v>12</v>
      </c>
      <c r="D83" s="22">
        <v>11</v>
      </c>
      <c r="E83" s="22">
        <v>285</v>
      </c>
    </row>
    <row r="84" spans="1:5" outlineLevel="3" x14ac:dyDescent="0.2">
      <c r="A84" s="22" t="s">
        <v>2</v>
      </c>
      <c r="B84" s="22" t="s">
        <v>6</v>
      </c>
      <c r="C84" s="22" t="s">
        <v>12</v>
      </c>
      <c r="D84" s="22">
        <v>14</v>
      </c>
      <c r="E84" s="22">
        <v>355</v>
      </c>
    </row>
    <row r="85" spans="1:5" outlineLevel="3" x14ac:dyDescent="0.2">
      <c r="A85" s="22" t="s">
        <v>2</v>
      </c>
      <c r="B85" s="22" t="s">
        <v>8</v>
      </c>
      <c r="C85" s="22" t="s">
        <v>12</v>
      </c>
      <c r="D85" s="22">
        <v>14</v>
      </c>
      <c r="E85" s="22">
        <v>182</v>
      </c>
    </row>
    <row r="86" spans="1:5" outlineLevel="3" x14ac:dyDescent="0.2">
      <c r="A86" s="22" t="s">
        <v>2</v>
      </c>
      <c r="B86" s="22" t="s">
        <v>9</v>
      </c>
      <c r="C86" s="22" t="s">
        <v>12</v>
      </c>
      <c r="D86" s="22">
        <v>14</v>
      </c>
      <c r="E86" s="22">
        <v>180</v>
      </c>
    </row>
    <row r="87" spans="1:5" outlineLevel="2" x14ac:dyDescent="0.2">
      <c r="C87" s="38" t="s">
        <v>109</v>
      </c>
      <c r="E87" s="22">
        <f>SUBTOTAL(9,E82:E86)</f>
        <v>1459</v>
      </c>
    </row>
    <row r="88" spans="1:5" outlineLevel="3" x14ac:dyDescent="0.2">
      <c r="A88" s="22" t="s">
        <v>2</v>
      </c>
      <c r="B88" s="22" t="s">
        <v>10</v>
      </c>
      <c r="C88" s="22" t="s">
        <v>11</v>
      </c>
      <c r="D88" s="22">
        <v>7</v>
      </c>
      <c r="E88" s="22">
        <v>155</v>
      </c>
    </row>
    <row r="89" spans="1:5" outlineLevel="3" x14ac:dyDescent="0.2">
      <c r="A89" s="22" t="s">
        <v>2</v>
      </c>
      <c r="B89" s="22" t="s">
        <v>6</v>
      </c>
      <c r="C89" s="22" t="s">
        <v>11</v>
      </c>
      <c r="D89" s="22">
        <v>12</v>
      </c>
      <c r="E89" s="22">
        <v>159</v>
      </c>
    </row>
    <row r="90" spans="1:5" outlineLevel="3" x14ac:dyDescent="0.2">
      <c r="A90" s="22" t="s">
        <v>2</v>
      </c>
      <c r="B90" s="22" t="s">
        <v>7</v>
      </c>
      <c r="C90" s="22" t="s">
        <v>11</v>
      </c>
      <c r="D90" s="22">
        <v>14</v>
      </c>
      <c r="E90" s="22">
        <v>135</v>
      </c>
    </row>
    <row r="91" spans="1:5" outlineLevel="3" x14ac:dyDescent="0.2">
      <c r="A91" s="22" t="s">
        <v>2</v>
      </c>
      <c r="B91" s="22" t="s">
        <v>8</v>
      </c>
      <c r="C91" s="22" t="s">
        <v>11</v>
      </c>
      <c r="D91" s="22">
        <v>14</v>
      </c>
      <c r="E91" s="22">
        <v>356</v>
      </c>
    </row>
    <row r="92" spans="1:5" outlineLevel="3" x14ac:dyDescent="0.2">
      <c r="A92" s="22" t="s">
        <v>2</v>
      </c>
      <c r="B92" s="22" t="s">
        <v>9</v>
      </c>
      <c r="C92" s="22" t="s">
        <v>11</v>
      </c>
      <c r="D92" s="22">
        <v>14</v>
      </c>
      <c r="E92" s="22">
        <v>383</v>
      </c>
    </row>
    <row r="93" spans="1:5" outlineLevel="2" x14ac:dyDescent="0.2">
      <c r="C93" s="38" t="s">
        <v>110</v>
      </c>
      <c r="E93" s="22">
        <f>SUBTOTAL(9,E88:E92)</f>
        <v>1188</v>
      </c>
    </row>
    <row r="94" spans="1:5" outlineLevel="3" x14ac:dyDescent="0.2">
      <c r="A94" s="22" t="s">
        <v>2</v>
      </c>
      <c r="B94" s="22" t="s">
        <v>8</v>
      </c>
      <c r="C94" s="22" t="s">
        <v>13</v>
      </c>
      <c r="D94" s="22">
        <v>7</v>
      </c>
      <c r="E94" s="22">
        <v>443</v>
      </c>
    </row>
    <row r="95" spans="1:5" outlineLevel="3" x14ac:dyDescent="0.2">
      <c r="A95" s="22" t="s">
        <v>2</v>
      </c>
      <c r="B95" s="22" t="s">
        <v>9</v>
      </c>
      <c r="C95" s="22" t="s">
        <v>13</v>
      </c>
      <c r="D95" s="22">
        <v>7</v>
      </c>
      <c r="E95" s="22">
        <v>301</v>
      </c>
    </row>
    <row r="96" spans="1:5" outlineLevel="3" x14ac:dyDescent="0.2">
      <c r="A96" s="22" t="s">
        <v>2</v>
      </c>
      <c r="B96" s="22" t="s">
        <v>6</v>
      </c>
      <c r="C96" s="22" t="s">
        <v>13</v>
      </c>
      <c r="D96" s="22">
        <v>11</v>
      </c>
      <c r="E96" s="22">
        <v>355</v>
      </c>
    </row>
    <row r="97" spans="1:5" outlineLevel="3" x14ac:dyDescent="0.2">
      <c r="A97" s="22" t="s">
        <v>2</v>
      </c>
      <c r="B97" s="22" t="s">
        <v>7</v>
      </c>
      <c r="C97" s="22" t="s">
        <v>13</v>
      </c>
      <c r="D97" s="22">
        <v>11</v>
      </c>
      <c r="E97" s="22">
        <v>380</v>
      </c>
    </row>
    <row r="98" spans="1:5" outlineLevel="3" x14ac:dyDescent="0.2">
      <c r="A98" s="22" t="s">
        <v>2</v>
      </c>
      <c r="B98" s="22" t="s">
        <v>10</v>
      </c>
      <c r="C98" s="22" t="s">
        <v>13</v>
      </c>
      <c r="D98" s="22">
        <v>12</v>
      </c>
      <c r="E98" s="22">
        <v>272</v>
      </c>
    </row>
    <row r="99" spans="1:5" outlineLevel="2" x14ac:dyDescent="0.2">
      <c r="C99" s="38" t="s">
        <v>111</v>
      </c>
      <c r="E99" s="22">
        <f>SUBTOTAL(9,E94:E98)</f>
        <v>1751</v>
      </c>
    </row>
    <row r="100" spans="1:5" outlineLevel="1" x14ac:dyDescent="0.2">
      <c r="A100" s="38" t="s">
        <v>95</v>
      </c>
      <c r="E100" s="22">
        <f>SUBTOTAL(9,E82:E98)</f>
        <v>4398</v>
      </c>
    </row>
    <row r="101" spans="1:5" outlineLevel="3" x14ac:dyDescent="0.2">
      <c r="A101" s="22" t="s">
        <v>4</v>
      </c>
      <c r="B101" s="22" t="s">
        <v>7</v>
      </c>
      <c r="C101" s="22" t="s">
        <v>12</v>
      </c>
      <c r="D101" s="22">
        <v>7</v>
      </c>
      <c r="E101" s="22">
        <v>286</v>
      </c>
    </row>
    <row r="102" spans="1:5" outlineLevel="3" x14ac:dyDescent="0.2">
      <c r="A102" s="22" t="s">
        <v>4</v>
      </c>
      <c r="B102" s="22" t="s">
        <v>9</v>
      </c>
      <c r="C102" s="22" t="s">
        <v>12</v>
      </c>
      <c r="D102" s="22">
        <v>7</v>
      </c>
      <c r="E102" s="22">
        <v>143</v>
      </c>
    </row>
    <row r="103" spans="1:5" outlineLevel="3" x14ac:dyDescent="0.2">
      <c r="A103" s="22" t="s">
        <v>4</v>
      </c>
      <c r="B103" s="22" t="s">
        <v>6</v>
      </c>
      <c r="C103" s="22" t="s">
        <v>12</v>
      </c>
      <c r="D103" s="22">
        <v>12</v>
      </c>
      <c r="E103" s="22">
        <v>377</v>
      </c>
    </row>
    <row r="104" spans="1:5" outlineLevel="3" x14ac:dyDescent="0.2">
      <c r="A104" s="22" t="s">
        <v>4</v>
      </c>
      <c r="B104" s="22" t="s">
        <v>10</v>
      </c>
      <c r="C104" s="22" t="s">
        <v>12</v>
      </c>
      <c r="D104" s="22">
        <v>12</v>
      </c>
      <c r="E104" s="22">
        <v>290</v>
      </c>
    </row>
    <row r="105" spans="1:5" outlineLevel="3" x14ac:dyDescent="0.2">
      <c r="A105" s="22" t="s">
        <v>4</v>
      </c>
      <c r="B105" s="22" t="s">
        <v>8</v>
      </c>
      <c r="C105" s="22" t="s">
        <v>12</v>
      </c>
      <c r="D105" s="22">
        <v>12</v>
      </c>
      <c r="E105" s="22">
        <v>289</v>
      </c>
    </row>
    <row r="106" spans="1:5" outlineLevel="2" x14ac:dyDescent="0.2">
      <c r="C106" s="38" t="s">
        <v>109</v>
      </c>
      <c r="E106" s="22">
        <f>SUBTOTAL(9,E101:E105)</f>
        <v>1385</v>
      </c>
    </row>
    <row r="107" spans="1:5" outlineLevel="3" x14ac:dyDescent="0.2">
      <c r="A107" s="22" t="s">
        <v>4</v>
      </c>
      <c r="B107" s="22" t="s">
        <v>10</v>
      </c>
      <c r="C107" s="22" t="s">
        <v>11</v>
      </c>
      <c r="D107" s="22">
        <v>12</v>
      </c>
      <c r="E107" s="22">
        <v>483</v>
      </c>
    </row>
    <row r="108" spans="1:5" outlineLevel="3" x14ac:dyDescent="0.2">
      <c r="A108" s="22" t="s">
        <v>4</v>
      </c>
      <c r="B108" s="22" t="s">
        <v>8</v>
      </c>
      <c r="C108" s="22" t="s">
        <v>11</v>
      </c>
      <c r="D108" s="22">
        <v>12</v>
      </c>
      <c r="E108" s="22">
        <v>136</v>
      </c>
    </row>
    <row r="109" spans="1:5" outlineLevel="3" x14ac:dyDescent="0.2">
      <c r="A109" s="22" t="s">
        <v>4</v>
      </c>
      <c r="B109" s="22" t="s">
        <v>7</v>
      </c>
      <c r="C109" s="22" t="s">
        <v>11</v>
      </c>
      <c r="D109" s="22">
        <v>14</v>
      </c>
      <c r="E109" s="22">
        <v>237</v>
      </c>
    </row>
    <row r="110" spans="1:5" outlineLevel="3" x14ac:dyDescent="0.2">
      <c r="A110" s="22" t="s">
        <v>4</v>
      </c>
      <c r="B110" s="22" t="s">
        <v>9</v>
      </c>
      <c r="C110" s="22" t="s">
        <v>11</v>
      </c>
      <c r="D110" s="22">
        <v>14</v>
      </c>
      <c r="E110" s="22">
        <v>352</v>
      </c>
    </row>
    <row r="111" spans="1:5" outlineLevel="2" x14ac:dyDescent="0.2">
      <c r="C111" s="38" t="s">
        <v>110</v>
      </c>
      <c r="E111" s="22">
        <f>SUBTOTAL(9,E107:E110)</f>
        <v>1208</v>
      </c>
    </row>
    <row r="112" spans="1:5" outlineLevel="3" x14ac:dyDescent="0.2">
      <c r="A112" s="22" t="s">
        <v>4</v>
      </c>
      <c r="B112" s="22" t="s">
        <v>6</v>
      </c>
      <c r="C112" s="22" t="s">
        <v>13</v>
      </c>
      <c r="D112" s="22">
        <v>7</v>
      </c>
      <c r="E112" s="22">
        <v>426</v>
      </c>
    </row>
    <row r="113" spans="1:5" outlineLevel="3" x14ac:dyDescent="0.2">
      <c r="A113" s="22" t="s">
        <v>4</v>
      </c>
      <c r="B113" s="22" t="s">
        <v>10</v>
      </c>
      <c r="C113" s="22" t="s">
        <v>13</v>
      </c>
      <c r="D113" s="22">
        <v>7</v>
      </c>
      <c r="E113" s="22">
        <v>258</v>
      </c>
    </row>
    <row r="114" spans="1:5" outlineLevel="3" x14ac:dyDescent="0.2">
      <c r="A114" s="22" t="s">
        <v>4</v>
      </c>
      <c r="B114" s="22" t="s">
        <v>8</v>
      </c>
      <c r="C114" s="22" t="s">
        <v>13</v>
      </c>
      <c r="D114" s="22">
        <v>7</v>
      </c>
      <c r="E114" s="22">
        <v>151</v>
      </c>
    </row>
    <row r="115" spans="1:5" outlineLevel="3" x14ac:dyDescent="0.2">
      <c r="A115" s="22" t="s">
        <v>4</v>
      </c>
      <c r="B115" s="22" t="s">
        <v>7</v>
      </c>
      <c r="C115" s="22" t="s">
        <v>13</v>
      </c>
      <c r="D115" s="22">
        <v>11</v>
      </c>
      <c r="E115" s="22">
        <v>316</v>
      </c>
    </row>
    <row r="116" spans="1:5" outlineLevel="3" x14ac:dyDescent="0.2">
      <c r="A116" s="22" t="s">
        <v>4</v>
      </c>
      <c r="B116" s="22" t="s">
        <v>9</v>
      </c>
      <c r="C116" s="22" t="s">
        <v>13</v>
      </c>
      <c r="D116" s="22">
        <v>11</v>
      </c>
      <c r="E116" s="22">
        <v>351</v>
      </c>
    </row>
    <row r="117" spans="1:5" outlineLevel="2" x14ac:dyDescent="0.2">
      <c r="C117" s="38" t="s">
        <v>111</v>
      </c>
      <c r="E117" s="22">
        <f>SUBTOTAL(9,E112:E116)</f>
        <v>1502</v>
      </c>
    </row>
    <row r="118" spans="1:5" outlineLevel="1" x14ac:dyDescent="0.2">
      <c r="A118" s="38" t="s">
        <v>96</v>
      </c>
      <c r="E118" s="22">
        <f>SUBTOTAL(9,E101:E116)</f>
        <v>4095</v>
      </c>
    </row>
    <row r="119" spans="1:5" x14ac:dyDescent="0.2">
      <c r="A119" s="38" t="s">
        <v>78</v>
      </c>
      <c r="E119" s="22">
        <f>SUBTOTAL(9,E6:E116)</f>
        <v>27273</v>
      </c>
    </row>
  </sheetData>
  <sortState xmlns:xlrd2="http://schemas.microsoft.com/office/spreadsheetml/2017/richdata2" ref="A6:E125">
    <sortCondition ref="A6:A116"/>
    <sortCondition ref="C6:C116"/>
  </sortState>
  <phoneticPr fontId="0" type="noConversion"/>
  <pageMargins left="0.7" right="0.7" top="0.78740157499999996" bottom="0.78740157499999996" header="0.3" footer="0.3"/>
  <pageSetup paperSize="9" orientation="portrait" r:id="rId1"/>
  <rowBreaks count="23" manualBreakCount="23">
    <brk id="11" max="16383" man="1"/>
    <brk id="17" max="16383" man="1"/>
    <brk id="23" max="16383" man="1"/>
    <brk id="24" max="16383" man="1"/>
    <brk id="30" max="16383" man="1"/>
    <brk id="36" max="16383" man="1"/>
    <brk id="42" max="16383" man="1"/>
    <brk id="43" max="16383" man="1"/>
    <brk id="49" max="16383" man="1"/>
    <brk id="55" max="16383" man="1"/>
    <brk id="61" max="16383" man="1"/>
    <brk id="62" max="16383" man="1"/>
    <brk id="68" max="16383" man="1"/>
    <brk id="74" max="16383" man="1"/>
    <brk id="80" max="16383" man="1"/>
    <brk id="81" max="16383" man="1"/>
    <brk id="87" max="16383" man="1"/>
    <brk id="93" max="16383" man="1"/>
    <brk id="99" max="16383" man="1"/>
    <brk id="100" max="16383" man="1"/>
    <brk id="106" max="16383" man="1"/>
    <brk id="111" max="16383" man="1"/>
    <brk id="119" max="1638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2"/>
  <sheetViews>
    <sheetView workbookViewId="0">
      <selection activeCell="F43" sqref="F43"/>
    </sheetView>
  </sheetViews>
  <sheetFormatPr defaultColWidth="9.28515625" defaultRowHeight="12.75" outlineLevelRow="3" x14ac:dyDescent="0.2"/>
  <cols>
    <col min="1" max="2" width="9.28515625" style="22"/>
    <col min="3" max="3" width="15.28515625" style="22" customWidth="1"/>
    <col min="4" max="4" width="17.42578125" style="22" customWidth="1"/>
    <col min="5" max="5" width="26" style="22" customWidth="1"/>
    <col min="6" max="16384" width="9.28515625" style="22"/>
  </cols>
  <sheetData>
    <row r="1" spans="1:12" ht="18" x14ac:dyDescent="0.25">
      <c r="A1" s="16" t="s">
        <v>20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8" x14ac:dyDescent="0.25">
      <c r="A2" s="29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5" spans="1:12" ht="15.75" x14ac:dyDescent="0.25">
      <c r="A5" s="30" t="s">
        <v>16</v>
      </c>
      <c r="B5" s="30" t="s">
        <v>17</v>
      </c>
      <c r="C5" s="30" t="s">
        <v>18</v>
      </c>
      <c r="D5" s="30" t="s">
        <v>14</v>
      </c>
      <c r="E5" s="30" t="s">
        <v>15</v>
      </c>
    </row>
    <row r="6" spans="1:12" outlineLevel="3" x14ac:dyDescent="0.2">
      <c r="A6" s="22" t="s">
        <v>1</v>
      </c>
      <c r="B6" s="22" t="s">
        <v>6</v>
      </c>
      <c r="C6" s="22" t="s">
        <v>11</v>
      </c>
      <c r="D6" s="22">
        <v>7</v>
      </c>
      <c r="E6" s="22">
        <v>120</v>
      </c>
    </row>
    <row r="7" spans="1:12" outlineLevel="3" x14ac:dyDescent="0.2">
      <c r="A7" s="22" t="s">
        <v>1</v>
      </c>
      <c r="B7" s="22" t="s">
        <v>6</v>
      </c>
      <c r="C7" s="22" t="s">
        <v>13</v>
      </c>
      <c r="D7" s="22">
        <v>11</v>
      </c>
      <c r="E7" s="22">
        <v>391</v>
      </c>
    </row>
    <row r="8" spans="1:12" outlineLevel="3" x14ac:dyDescent="0.2">
      <c r="A8" s="22" t="s">
        <v>1</v>
      </c>
      <c r="B8" s="22" t="s">
        <v>6</v>
      </c>
      <c r="C8" s="22" t="s">
        <v>12</v>
      </c>
      <c r="D8" s="22">
        <v>14</v>
      </c>
      <c r="E8" s="22">
        <v>129</v>
      </c>
    </row>
    <row r="9" spans="1:12" outlineLevel="2" x14ac:dyDescent="0.2">
      <c r="B9" s="38" t="s">
        <v>103</v>
      </c>
      <c r="D9" s="22">
        <f>SUBTOTAL(1,D6:D8)</f>
        <v>10.666666666666666</v>
      </c>
    </row>
    <row r="10" spans="1:12" outlineLevel="3" x14ac:dyDescent="0.2">
      <c r="A10" s="22" t="s">
        <v>1</v>
      </c>
      <c r="B10" s="22" t="s">
        <v>7</v>
      </c>
      <c r="C10" s="22" t="s">
        <v>12</v>
      </c>
      <c r="D10" s="22">
        <v>14</v>
      </c>
      <c r="E10" s="22">
        <v>282</v>
      </c>
    </row>
    <row r="11" spans="1:12" outlineLevel="3" x14ac:dyDescent="0.2">
      <c r="A11" s="22" t="s">
        <v>1</v>
      </c>
      <c r="B11" s="22" t="s">
        <v>7</v>
      </c>
      <c r="C11" s="22" t="s">
        <v>11</v>
      </c>
      <c r="D11" s="22">
        <v>14</v>
      </c>
      <c r="E11" s="22">
        <v>318</v>
      </c>
    </row>
    <row r="12" spans="1:12" outlineLevel="3" x14ac:dyDescent="0.2">
      <c r="A12" s="22" t="s">
        <v>1</v>
      </c>
      <c r="B12" s="22" t="s">
        <v>7</v>
      </c>
      <c r="C12" s="22" t="s">
        <v>13</v>
      </c>
      <c r="D12" s="22">
        <v>14</v>
      </c>
      <c r="E12" s="22">
        <v>405</v>
      </c>
    </row>
    <row r="13" spans="1:12" outlineLevel="2" x14ac:dyDescent="0.2">
      <c r="B13" s="38" t="s">
        <v>104</v>
      </c>
      <c r="D13" s="22">
        <f>SUBTOTAL(1,D10:D12)</f>
        <v>14</v>
      </c>
    </row>
    <row r="14" spans="1:12" outlineLevel="3" x14ac:dyDescent="0.2">
      <c r="A14" s="22" t="s">
        <v>1</v>
      </c>
      <c r="B14" s="22" t="s">
        <v>10</v>
      </c>
      <c r="C14" s="22" t="s">
        <v>13</v>
      </c>
      <c r="D14" s="22">
        <v>7</v>
      </c>
      <c r="E14" s="22">
        <v>447</v>
      </c>
    </row>
    <row r="15" spans="1:12" outlineLevel="3" x14ac:dyDescent="0.2">
      <c r="A15" s="22" t="s">
        <v>1</v>
      </c>
      <c r="B15" s="22" t="s">
        <v>10</v>
      </c>
      <c r="C15" s="22" t="s">
        <v>11</v>
      </c>
      <c r="D15" s="22">
        <v>11</v>
      </c>
      <c r="E15" s="22">
        <v>274</v>
      </c>
    </row>
    <row r="16" spans="1:12" outlineLevel="3" x14ac:dyDescent="0.2">
      <c r="A16" s="22" t="s">
        <v>1</v>
      </c>
      <c r="B16" s="22" t="s">
        <v>10</v>
      </c>
      <c r="C16" s="22" t="s">
        <v>12</v>
      </c>
      <c r="D16" s="22">
        <v>12</v>
      </c>
      <c r="E16" s="22">
        <v>349</v>
      </c>
    </row>
    <row r="17" spans="1:5" outlineLevel="2" x14ac:dyDescent="0.2">
      <c r="B17" s="38" t="s">
        <v>112</v>
      </c>
      <c r="D17" s="22">
        <f>SUBTOTAL(1,D14:D16)</f>
        <v>10</v>
      </c>
    </row>
    <row r="18" spans="1:5" outlineLevel="3" x14ac:dyDescent="0.2">
      <c r="A18" s="22" t="s">
        <v>1</v>
      </c>
      <c r="B18" s="22" t="s">
        <v>8</v>
      </c>
      <c r="C18" s="22" t="s">
        <v>12</v>
      </c>
      <c r="D18" s="22">
        <v>7</v>
      </c>
      <c r="E18" s="22">
        <v>272</v>
      </c>
    </row>
    <row r="19" spans="1:5" outlineLevel="3" x14ac:dyDescent="0.2">
      <c r="A19" s="22" t="s">
        <v>1</v>
      </c>
      <c r="B19" s="22" t="s">
        <v>8</v>
      </c>
      <c r="C19" s="22" t="s">
        <v>11</v>
      </c>
      <c r="D19" s="22">
        <v>7</v>
      </c>
      <c r="E19" s="22">
        <v>412</v>
      </c>
    </row>
    <row r="20" spans="1:5" outlineLevel="3" x14ac:dyDescent="0.2">
      <c r="A20" s="22" t="s">
        <v>1</v>
      </c>
      <c r="B20" s="22" t="s">
        <v>8</v>
      </c>
      <c r="C20" s="22" t="s">
        <v>13</v>
      </c>
      <c r="D20" s="22">
        <v>14</v>
      </c>
      <c r="E20" s="22">
        <v>415</v>
      </c>
    </row>
    <row r="21" spans="1:5" outlineLevel="2" x14ac:dyDescent="0.2">
      <c r="B21" s="38" t="s">
        <v>113</v>
      </c>
      <c r="D21" s="22">
        <f>SUBTOTAL(1,D18:D20)</f>
        <v>9.3333333333333339</v>
      </c>
    </row>
    <row r="22" spans="1:5" outlineLevel="3" x14ac:dyDescent="0.2">
      <c r="A22" s="22" t="s">
        <v>1</v>
      </c>
      <c r="B22" s="22" t="s">
        <v>9</v>
      </c>
      <c r="C22" s="22" t="s">
        <v>11</v>
      </c>
      <c r="D22" s="22">
        <v>7</v>
      </c>
      <c r="E22" s="22">
        <v>122</v>
      </c>
    </row>
    <row r="23" spans="1:5" outlineLevel="3" x14ac:dyDescent="0.2">
      <c r="A23" s="22" t="s">
        <v>1</v>
      </c>
      <c r="B23" s="22" t="s">
        <v>9</v>
      </c>
      <c r="C23" s="22" t="s">
        <v>13</v>
      </c>
      <c r="D23" s="22">
        <v>7</v>
      </c>
      <c r="E23" s="22">
        <v>260</v>
      </c>
    </row>
    <row r="24" spans="1:5" outlineLevel="3" x14ac:dyDescent="0.2">
      <c r="A24" s="22" t="s">
        <v>1</v>
      </c>
      <c r="B24" s="22" t="s">
        <v>9</v>
      </c>
      <c r="C24" s="22" t="s">
        <v>12</v>
      </c>
      <c r="D24" s="22">
        <v>12</v>
      </c>
      <c r="E24" s="22">
        <v>286</v>
      </c>
    </row>
    <row r="25" spans="1:5" outlineLevel="2" x14ac:dyDescent="0.2">
      <c r="B25" s="38" t="s">
        <v>114</v>
      </c>
      <c r="D25" s="22">
        <f>SUBTOTAL(1,D22:D24)</f>
        <v>8.6666666666666661</v>
      </c>
    </row>
    <row r="26" spans="1:5" outlineLevel="1" x14ac:dyDescent="0.2">
      <c r="A26" s="38" t="s">
        <v>91</v>
      </c>
      <c r="E26" s="22">
        <f>SUBTOTAL(9,E6:E24)</f>
        <v>4482</v>
      </c>
    </row>
    <row r="27" spans="1:5" outlineLevel="3" x14ac:dyDescent="0.2">
      <c r="A27" s="22" t="s">
        <v>3</v>
      </c>
      <c r="B27" s="22" t="s">
        <v>6</v>
      </c>
      <c r="C27" s="22" t="s">
        <v>11</v>
      </c>
      <c r="D27" s="22">
        <v>7</v>
      </c>
      <c r="E27" s="22">
        <v>178</v>
      </c>
    </row>
    <row r="28" spans="1:5" outlineLevel="3" x14ac:dyDescent="0.2">
      <c r="A28" s="22" t="s">
        <v>3</v>
      </c>
      <c r="B28" s="22" t="s">
        <v>6</v>
      </c>
      <c r="C28" s="22" t="s">
        <v>13</v>
      </c>
      <c r="D28" s="22">
        <v>7</v>
      </c>
      <c r="E28" s="22">
        <v>178</v>
      </c>
    </row>
    <row r="29" spans="1:5" outlineLevel="3" x14ac:dyDescent="0.2">
      <c r="A29" s="22" t="s">
        <v>3</v>
      </c>
      <c r="B29" s="22" t="s">
        <v>6</v>
      </c>
      <c r="C29" s="22" t="s">
        <v>12</v>
      </c>
      <c r="D29" s="22">
        <v>14</v>
      </c>
      <c r="E29" s="22">
        <v>316</v>
      </c>
    </row>
    <row r="30" spans="1:5" outlineLevel="2" x14ac:dyDescent="0.2">
      <c r="B30" s="38" t="s">
        <v>103</v>
      </c>
      <c r="D30" s="22">
        <f>SUBTOTAL(1,D27:D29)</f>
        <v>9.3333333333333339</v>
      </c>
    </row>
    <row r="31" spans="1:5" outlineLevel="3" x14ac:dyDescent="0.2">
      <c r="A31" s="22" t="s">
        <v>3</v>
      </c>
      <c r="B31" s="22" t="s">
        <v>7</v>
      </c>
      <c r="C31" s="22" t="s">
        <v>12</v>
      </c>
      <c r="D31" s="22">
        <v>11</v>
      </c>
      <c r="E31" s="22">
        <v>206</v>
      </c>
    </row>
    <row r="32" spans="1:5" outlineLevel="3" x14ac:dyDescent="0.2">
      <c r="A32" s="22" t="s">
        <v>3</v>
      </c>
      <c r="B32" s="22" t="s">
        <v>7</v>
      </c>
      <c r="C32" s="22" t="s">
        <v>13</v>
      </c>
      <c r="D32" s="22">
        <v>11</v>
      </c>
      <c r="E32" s="22">
        <v>267</v>
      </c>
    </row>
    <row r="33" spans="1:5" outlineLevel="3" x14ac:dyDescent="0.2">
      <c r="A33" s="22" t="s">
        <v>3</v>
      </c>
      <c r="B33" s="22" t="s">
        <v>7</v>
      </c>
      <c r="C33" s="22" t="s">
        <v>11</v>
      </c>
      <c r="D33" s="22">
        <v>12</v>
      </c>
      <c r="E33" s="22">
        <v>446</v>
      </c>
    </row>
    <row r="34" spans="1:5" outlineLevel="2" x14ac:dyDescent="0.2">
      <c r="B34" s="38" t="s">
        <v>104</v>
      </c>
      <c r="D34" s="22">
        <f>SUBTOTAL(1,D31:D33)</f>
        <v>11.333333333333334</v>
      </c>
    </row>
    <row r="35" spans="1:5" outlineLevel="3" x14ac:dyDescent="0.2">
      <c r="A35" s="22" t="s">
        <v>3</v>
      </c>
      <c r="B35" s="22" t="s">
        <v>10</v>
      </c>
      <c r="C35" s="22" t="s">
        <v>13</v>
      </c>
      <c r="D35" s="22">
        <v>7</v>
      </c>
      <c r="E35" s="22">
        <v>332</v>
      </c>
    </row>
    <row r="36" spans="1:5" outlineLevel="3" x14ac:dyDescent="0.2">
      <c r="A36" s="22" t="s">
        <v>3</v>
      </c>
      <c r="B36" s="22" t="s">
        <v>10</v>
      </c>
      <c r="C36" s="22" t="s">
        <v>12</v>
      </c>
      <c r="D36" s="22">
        <v>12</v>
      </c>
      <c r="E36" s="22">
        <v>345</v>
      </c>
    </row>
    <row r="37" spans="1:5" outlineLevel="3" x14ac:dyDescent="0.2">
      <c r="A37" s="22" t="s">
        <v>3</v>
      </c>
      <c r="B37" s="22" t="s">
        <v>10</v>
      </c>
      <c r="C37" s="22" t="s">
        <v>11</v>
      </c>
      <c r="D37" s="22">
        <v>14</v>
      </c>
      <c r="E37" s="22">
        <v>354</v>
      </c>
    </row>
    <row r="38" spans="1:5" outlineLevel="2" x14ac:dyDescent="0.2">
      <c r="B38" s="38" t="s">
        <v>112</v>
      </c>
      <c r="D38" s="22">
        <f>SUBTOTAL(1,D35:D37)</f>
        <v>11</v>
      </c>
    </row>
    <row r="39" spans="1:5" outlineLevel="3" x14ac:dyDescent="0.2">
      <c r="A39" s="22" t="s">
        <v>3</v>
      </c>
      <c r="B39" s="22" t="s">
        <v>8</v>
      </c>
      <c r="C39" s="22" t="s">
        <v>12</v>
      </c>
      <c r="D39" s="22">
        <v>11</v>
      </c>
      <c r="E39" s="22">
        <v>134</v>
      </c>
    </row>
    <row r="40" spans="1:5" outlineLevel="3" x14ac:dyDescent="0.2">
      <c r="A40" s="22" t="s">
        <v>3</v>
      </c>
      <c r="B40" s="22" t="s">
        <v>8</v>
      </c>
      <c r="C40" s="22" t="s">
        <v>13</v>
      </c>
      <c r="D40" s="22">
        <v>11</v>
      </c>
      <c r="E40" s="22">
        <v>385</v>
      </c>
    </row>
    <row r="41" spans="1:5" outlineLevel="3" x14ac:dyDescent="0.2">
      <c r="A41" s="22" t="s">
        <v>3</v>
      </c>
      <c r="B41" s="22" t="s">
        <v>8</v>
      </c>
      <c r="C41" s="22" t="s">
        <v>11</v>
      </c>
      <c r="D41" s="22">
        <v>12</v>
      </c>
      <c r="E41" s="22">
        <v>441</v>
      </c>
    </row>
    <row r="42" spans="1:5" outlineLevel="2" x14ac:dyDescent="0.2">
      <c r="B42" s="38" t="s">
        <v>113</v>
      </c>
      <c r="D42" s="22">
        <f>SUBTOTAL(1,D39:D41)</f>
        <v>11.333333333333334</v>
      </c>
    </row>
    <row r="43" spans="1:5" outlineLevel="3" x14ac:dyDescent="0.2">
      <c r="A43" s="22" t="s">
        <v>3</v>
      </c>
      <c r="B43" s="22" t="s">
        <v>9</v>
      </c>
      <c r="C43" s="22" t="s">
        <v>12</v>
      </c>
      <c r="D43" s="22">
        <v>11</v>
      </c>
      <c r="E43" s="22">
        <v>170</v>
      </c>
    </row>
    <row r="44" spans="1:5" outlineLevel="3" x14ac:dyDescent="0.2">
      <c r="A44" s="22" t="s">
        <v>3</v>
      </c>
      <c r="B44" s="22" t="s">
        <v>9</v>
      </c>
      <c r="C44" s="22" t="s">
        <v>13</v>
      </c>
      <c r="D44" s="22">
        <v>11</v>
      </c>
      <c r="E44" s="22">
        <v>432</v>
      </c>
    </row>
    <row r="45" spans="1:5" outlineLevel="3" x14ac:dyDescent="0.2">
      <c r="A45" s="22" t="s">
        <v>3</v>
      </c>
      <c r="B45" s="22" t="s">
        <v>9</v>
      </c>
      <c r="C45" s="22" t="s">
        <v>11</v>
      </c>
      <c r="D45" s="22">
        <v>12</v>
      </c>
      <c r="E45" s="22">
        <v>124</v>
      </c>
    </row>
    <row r="46" spans="1:5" outlineLevel="2" x14ac:dyDescent="0.2">
      <c r="B46" s="38" t="s">
        <v>114</v>
      </c>
      <c r="D46" s="22">
        <f>SUBTOTAL(1,D43:D45)</f>
        <v>11.333333333333334</v>
      </c>
    </row>
    <row r="47" spans="1:5" outlineLevel="1" x14ac:dyDescent="0.2">
      <c r="A47" s="38" t="s">
        <v>92</v>
      </c>
      <c r="E47" s="22">
        <f>SUBTOTAL(9,E27:E45)</f>
        <v>4308</v>
      </c>
    </row>
    <row r="48" spans="1:5" outlineLevel="3" x14ac:dyDescent="0.2">
      <c r="A48" s="22" t="s">
        <v>0</v>
      </c>
      <c r="B48" s="22" t="s">
        <v>6</v>
      </c>
      <c r="C48" s="22" t="s">
        <v>13</v>
      </c>
      <c r="D48" s="22">
        <v>7</v>
      </c>
      <c r="E48" s="22">
        <v>471</v>
      </c>
    </row>
    <row r="49" spans="1:5" outlineLevel="3" x14ac:dyDescent="0.2">
      <c r="A49" s="22" t="s">
        <v>0</v>
      </c>
      <c r="B49" s="22" t="s">
        <v>6</v>
      </c>
      <c r="C49" s="22" t="s">
        <v>11</v>
      </c>
      <c r="D49" s="22">
        <v>11</v>
      </c>
      <c r="E49" s="22">
        <v>489</v>
      </c>
    </row>
    <row r="50" spans="1:5" outlineLevel="3" x14ac:dyDescent="0.2">
      <c r="A50" s="22" t="s">
        <v>0</v>
      </c>
      <c r="B50" s="22" t="s">
        <v>6</v>
      </c>
      <c r="C50" s="22" t="s">
        <v>12</v>
      </c>
      <c r="D50" s="22">
        <v>12</v>
      </c>
      <c r="E50" s="22">
        <v>460</v>
      </c>
    </row>
    <row r="51" spans="1:5" outlineLevel="2" x14ac:dyDescent="0.2">
      <c r="B51" s="38" t="s">
        <v>103</v>
      </c>
      <c r="D51" s="22">
        <f>SUBTOTAL(1,D48:D50)</f>
        <v>10</v>
      </c>
    </row>
    <row r="52" spans="1:5" outlineLevel="3" x14ac:dyDescent="0.2">
      <c r="A52" s="22" t="s">
        <v>0</v>
      </c>
      <c r="B52" s="22" t="s">
        <v>7</v>
      </c>
      <c r="C52" s="22" t="s">
        <v>12</v>
      </c>
      <c r="D52" s="22">
        <v>14</v>
      </c>
      <c r="E52" s="22">
        <v>232</v>
      </c>
    </row>
    <row r="53" spans="1:5" outlineLevel="3" x14ac:dyDescent="0.2">
      <c r="A53" s="22" t="s">
        <v>0</v>
      </c>
      <c r="B53" s="22" t="s">
        <v>7</v>
      </c>
      <c r="C53" s="22" t="s">
        <v>11</v>
      </c>
      <c r="D53" s="22">
        <v>14</v>
      </c>
      <c r="E53" s="22">
        <v>260</v>
      </c>
    </row>
    <row r="54" spans="1:5" outlineLevel="3" x14ac:dyDescent="0.2">
      <c r="A54" s="22" t="s">
        <v>0</v>
      </c>
      <c r="B54" s="22" t="s">
        <v>7</v>
      </c>
      <c r="C54" s="22" t="s">
        <v>13</v>
      </c>
      <c r="D54" s="22">
        <v>14</v>
      </c>
      <c r="E54" s="22">
        <v>491</v>
      </c>
    </row>
    <row r="55" spans="1:5" outlineLevel="2" x14ac:dyDescent="0.2">
      <c r="B55" s="38" t="s">
        <v>104</v>
      </c>
      <c r="D55" s="22">
        <f>SUBTOTAL(1,D52:D54)</f>
        <v>14</v>
      </c>
    </row>
    <row r="56" spans="1:5" outlineLevel="3" x14ac:dyDescent="0.2">
      <c r="A56" s="22" t="s">
        <v>0</v>
      </c>
      <c r="B56" s="22" t="s">
        <v>10</v>
      </c>
      <c r="C56" s="22" t="s">
        <v>11</v>
      </c>
      <c r="D56" s="22">
        <v>11</v>
      </c>
      <c r="E56" s="22">
        <v>490</v>
      </c>
    </row>
    <row r="57" spans="1:5" outlineLevel="3" x14ac:dyDescent="0.2">
      <c r="A57" s="22" t="s">
        <v>0</v>
      </c>
      <c r="B57" s="22" t="s">
        <v>10</v>
      </c>
      <c r="C57" s="22" t="s">
        <v>12</v>
      </c>
      <c r="D57" s="22">
        <v>12</v>
      </c>
      <c r="E57" s="22">
        <v>259</v>
      </c>
    </row>
    <row r="58" spans="1:5" outlineLevel="3" x14ac:dyDescent="0.2">
      <c r="A58" s="22" t="s">
        <v>0</v>
      </c>
      <c r="B58" s="22" t="s">
        <v>10</v>
      </c>
      <c r="C58" s="22" t="s">
        <v>13</v>
      </c>
      <c r="D58" s="22">
        <v>12</v>
      </c>
      <c r="E58" s="22">
        <v>386</v>
      </c>
    </row>
    <row r="59" spans="1:5" outlineLevel="2" x14ac:dyDescent="0.2">
      <c r="B59" s="38" t="s">
        <v>112</v>
      </c>
      <c r="D59" s="22">
        <f>SUBTOTAL(1,D56:D58)</f>
        <v>11.666666666666666</v>
      </c>
    </row>
    <row r="60" spans="1:5" outlineLevel="3" x14ac:dyDescent="0.2">
      <c r="A60" s="22" t="s">
        <v>0</v>
      </c>
      <c r="B60" s="22" t="s">
        <v>8</v>
      </c>
      <c r="C60" s="22" t="s">
        <v>12</v>
      </c>
      <c r="D60" s="22">
        <v>14</v>
      </c>
      <c r="E60" s="22">
        <v>457</v>
      </c>
    </row>
    <row r="61" spans="1:5" outlineLevel="3" x14ac:dyDescent="0.2">
      <c r="A61" s="22" t="s">
        <v>0</v>
      </c>
      <c r="B61" s="22" t="s">
        <v>8</v>
      </c>
      <c r="C61" s="22" t="s">
        <v>11</v>
      </c>
      <c r="D61" s="22">
        <v>14</v>
      </c>
      <c r="E61" s="22">
        <v>401</v>
      </c>
    </row>
    <row r="62" spans="1:5" outlineLevel="3" x14ac:dyDescent="0.2">
      <c r="A62" s="22" t="s">
        <v>0</v>
      </c>
      <c r="B62" s="22" t="s">
        <v>8</v>
      </c>
      <c r="C62" s="22" t="s">
        <v>13</v>
      </c>
      <c r="D62" s="22">
        <v>14</v>
      </c>
      <c r="E62" s="22">
        <v>479</v>
      </c>
    </row>
    <row r="63" spans="1:5" outlineLevel="2" x14ac:dyDescent="0.2">
      <c r="B63" s="38" t="s">
        <v>113</v>
      </c>
      <c r="D63" s="22">
        <f>SUBTOTAL(1,D60:D62)</f>
        <v>14</v>
      </c>
    </row>
    <row r="64" spans="1:5" outlineLevel="3" x14ac:dyDescent="0.2">
      <c r="A64" s="22" t="s">
        <v>0</v>
      </c>
      <c r="B64" s="22" t="s">
        <v>9</v>
      </c>
      <c r="C64" s="22" t="s">
        <v>11</v>
      </c>
      <c r="D64" s="22">
        <v>11</v>
      </c>
      <c r="E64" s="22">
        <v>487</v>
      </c>
    </row>
    <row r="65" spans="1:5" outlineLevel="3" x14ac:dyDescent="0.2">
      <c r="A65" s="22" t="s">
        <v>0</v>
      </c>
      <c r="B65" s="22" t="s">
        <v>9</v>
      </c>
      <c r="C65" s="22" t="s">
        <v>12</v>
      </c>
      <c r="D65" s="22">
        <v>12</v>
      </c>
      <c r="E65" s="22">
        <v>289</v>
      </c>
    </row>
    <row r="66" spans="1:5" outlineLevel="3" x14ac:dyDescent="0.2">
      <c r="A66" s="22" t="s">
        <v>0</v>
      </c>
      <c r="B66" s="22" t="s">
        <v>9</v>
      </c>
      <c r="C66" s="22" t="s">
        <v>13</v>
      </c>
      <c r="D66" s="22">
        <v>14</v>
      </c>
      <c r="E66" s="22">
        <v>373</v>
      </c>
    </row>
    <row r="67" spans="1:5" outlineLevel="2" x14ac:dyDescent="0.2">
      <c r="B67" s="38" t="s">
        <v>114</v>
      </c>
      <c r="D67" s="22">
        <f>SUBTOTAL(1,D64:D66)</f>
        <v>12.333333333333334</v>
      </c>
    </row>
    <row r="68" spans="1:5" outlineLevel="1" x14ac:dyDescent="0.2">
      <c r="A68" s="38" t="s">
        <v>93</v>
      </c>
      <c r="E68" s="22">
        <f>SUBTOTAL(9,E48:E66)</f>
        <v>6024</v>
      </c>
    </row>
    <row r="69" spans="1:5" outlineLevel="3" x14ac:dyDescent="0.2">
      <c r="A69" s="22" t="s">
        <v>5</v>
      </c>
      <c r="B69" s="22" t="s">
        <v>6</v>
      </c>
      <c r="C69" s="22" t="s">
        <v>11</v>
      </c>
      <c r="D69" s="22">
        <v>7</v>
      </c>
      <c r="E69" s="22">
        <v>157</v>
      </c>
    </row>
    <row r="70" spans="1:5" outlineLevel="3" x14ac:dyDescent="0.2">
      <c r="A70" s="22" t="s">
        <v>5</v>
      </c>
      <c r="B70" s="22" t="s">
        <v>6</v>
      </c>
      <c r="C70" s="22" t="s">
        <v>12</v>
      </c>
      <c r="D70" s="22">
        <v>14</v>
      </c>
      <c r="E70" s="22">
        <v>416</v>
      </c>
    </row>
    <row r="71" spans="1:5" outlineLevel="3" x14ac:dyDescent="0.2">
      <c r="A71" s="22" t="s">
        <v>5</v>
      </c>
      <c r="B71" s="22" t="s">
        <v>6</v>
      </c>
      <c r="C71" s="22" t="s">
        <v>13</v>
      </c>
      <c r="D71" s="22">
        <v>14</v>
      </c>
      <c r="E71" s="22">
        <v>193</v>
      </c>
    </row>
    <row r="72" spans="1:5" outlineLevel="2" x14ac:dyDescent="0.2">
      <c r="B72" s="38" t="s">
        <v>103</v>
      </c>
      <c r="D72" s="22">
        <f>SUBTOTAL(1,D69:D71)</f>
        <v>11.666666666666666</v>
      </c>
    </row>
    <row r="73" spans="1:5" outlineLevel="3" x14ac:dyDescent="0.2">
      <c r="A73" s="22" t="s">
        <v>5</v>
      </c>
      <c r="B73" s="22" t="s">
        <v>7</v>
      </c>
      <c r="C73" s="22" t="s">
        <v>12</v>
      </c>
      <c r="D73" s="22">
        <v>7</v>
      </c>
      <c r="E73" s="22">
        <v>195</v>
      </c>
    </row>
    <row r="74" spans="1:5" outlineLevel="3" x14ac:dyDescent="0.2">
      <c r="A74" s="22" t="s">
        <v>5</v>
      </c>
      <c r="B74" s="22" t="s">
        <v>7</v>
      </c>
      <c r="C74" s="22" t="s">
        <v>11</v>
      </c>
      <c r="D74" s="22">
        <v>7</v>
      </c>
      <c r="E74" s="22">
        <v>164</v>
      </c>
    </row>
    <row r="75" spans="1:5" outlineLevel="3" x14ac:dyDescent="0.2">
      <c r="A75" s="22" t="s">
        <v>5</v>
      </c>
      <c r="B75" s="22" t="s">
        <v>7</v>
      </c>
      <c r="C75" s="22" t="s">
        <v>13</v>
      </c>
      <c r="D75" s="22">
        <v>14</v>
      </c>
      <c r="E75" s="22">
        <v>191</v>
      </c>
    </row>
    <row r="76" spans="1:5" outlineLevel="2" x14ac:dyDescent="0.2">
      <c r="B76" s="38" t="s">
        <v>104</v>
      </c>
      <c r="D76" s="22">
        <f>SUBTOTAL(1,D73:D75)</f>
        <v>9.3333333333333339</v>
      </c>
    </row>
    <row r="77" spans="1:5" outlineLevel="3" x14ac:dyDescent="0.2">
      <c r="A77" s="22" t="s">
        <v>5</v>
      </c>
      <c r="B77" s="22" t="s">
        <v>10</v>
      </c>
      <c r="C77" s="22" t="s">
        <v>13</v>
      </c>
      <c r="D77" s="22">
        <v>11</v>
      </c>
      <c r="E77" s="22">
        <v>422</v>
      </c>
    </row>
    <row r="78" spans="1:5" outlineLevel="3" x14ac:dyDescent="0.2">
      <c r="A78" s="22" t="s">
        <v>5</v>
      </c>
      <c r="B78" s="22" t="s">
        <v>10</v>
      </c>
      <c r="C78" s="22" t="s">
        <v>11</v>
      </c>
      <c r="D78" s="22">
        <v>12</v>
      </c>
      <c r="E78" s="22">
        <v>235</v>
      </c>
    </row>
    <row r="79" spans="1:5" outlineLevel="3" x14ac:dyDescent="0.2">
      <c r="A79" s="22" t="s">
        <v>5</v>
      </c>
      <c r="B79" s="22" t="s">
        <v>10</v>
      </c>
      <c r="C79" s="22" t="s">
        <v>12</v>
      </c>
      <c r="D79" s="22">
        <v>14</v>
      </c>
      <c r="E79" s="22">
        <v>324</v>
      </c>
    </row>
    <row r="80" spans="1:5" outlineLevel="2" x14ac:dyDescent="0.2">
      <c r="B80" s="38" t="s">
        <v>112</v>
      </c>
      <c r="D80" s="22">
        <f>SUBTOTAL(1,D77:D79)</f>
        <v>12.333333333333334</v>
      </c>
    </row>
    <row r="81" spans="1:5" outlineLevel="3" x14ac:dyDescent="0.2">
      <c r="A81" s="22" t="s">
        <v>5</v>
      </c>
      <c r="B81" s="22" t="s">
        <v>8</v>
      </c>
      <c r="C81" s="22" t="s">
        <v>13</v>
      </c>
      <c r="D81" s="22">
        <v>7</v>
      </c>
      <c r="E81" s="22">
        <v>139</v>
      </c>
    </row>
    <row r="82" spans="1:5" outlineLevel="3" x14ac:dyDescent="0.2">
      <c r="A82" s="22" t="s">
        <v>5</v>
      </c>
      <c r="B82" s="22" t="s">
        <v>8</v>
      </c>
      <c r="C82" s="22" t="s">
        <v>11</v>
      </c>
      <c r="D82" s="22">
        <v>11</v>
      </c>
      <c r="E82" s="22">
        <v>392</v>
      </c>
    </row>
    <row r="83" spans="1:5" outlineLevel="3" x14ac:dyDescent="0.2">
      <c r="A83" s="22" t="s">
        <v>5</v>
      </c>
      <c r="B83" s="22" t="s">
        <v>8</v>
      </c>
      <c r="C83" s="22" t="s">
        <v>12</v>
      </c>
      <c r="D83" s="22">
        <v>12</v>
      </c>
      <c r="E83" s="22">
        <v>317</v>
      </c>
    </row>
    <row r="84" spans="1:5" outlineLevel="2" x14ac:dyDescent="0.2">
      <c r="B84" s="38" t="s">
        <v>113</v>
      </c>
      <c r="D84" s="22">
        <f>SUBTOTAL(1,D81:D83)</f>
        <v>10</v>
      </c>
    </row>
    <row r="85" spans="1:5" outlineLevel="3" x14ac:dyDescent="0.2">
      <c r="A85" s="22" t="s">
        <v>5</v>
      </c>
      <c r="B85" s="22" t="s">
        <v>9</v>
      </c>
      <c r="C85" s="22" t="s">
        <v>11</v>
      </c>
      <c r="D85" s="22">
        <v>11</v>
      </c>
      <c r="E85" s="22">
        <v>135</v>
      </c>
    </row>
    <row r="86" spans="1:5" outlineLevel="3" x14ac:dyDescent="0.2">
      <c r="A86" s="22" t="s">
        <v>5</v>
      </c>
      <c r="B86" s="22" t="s">
        <v>9</v>
      </c>
      <c r="C86" s="22" t="s">
        <v>13</v>
      </c>
      <c r="D86" s="22">
        <v>11</v>
      </c>
      <c r="E86" s="22">
        <v>282</v>
      </c>
    </row>
    <row r="87" spans="1:5" outlineLevel="3" x14ac:dyDescent="0.2">
      <c r="A87" s="22" t="s">
        <v>5</v>
      </c>
      <c r="B87" s="22" t="s">
        <v>9</v>
      </c>
      <c r="C87" s="22" t="s">
        <v>12</v>
      </c>
      <c r="D87" s="22">
        <v>12</v>
      </c>
      <c r="E87" s="22">
        <v>404</v>
      </c>
    </row>
    <row r="88" spans="1:5" outlineLevel="2" x14ac:dyDescent="0.2">
      <c r="B88" s="38" t="s">
        <v>114</v>
      </c>
      <c r="D88" s="22">
        <f>SUBTOTAL(1,D85:D87)</f>
        <v>11.333333333333334</v>
      </c>
    </row>
    <row r="89" spans="1:5" outlineLevel="1" x14ac:dyDescent="0.2">
      <c r="A89" s="38" t="s">
        <v>94</v>
      </c>
      <c r="E89" s="22">
        <f>SUBTOTAL(9,E69:E87)</f>
        <v>3966</v>
      </c>
    </row>
    <row r="90" spans="1:5" outlineLevel="3" x14ac:dyDescent="0.2">
      <c r="A90" s="22" t="s">
        <v>2</v>
      </c>
      <c r="B90" s="22" t="s">
        <v>6</v>
      </c>
      <c r="C90" s="22" t="s">
        <v>13</v>
      </c>
      <c r="D90" s="22">
        <v>11</v>
      </c>
      <c r="E90" s="22">
        <v>355</v>
      </c>
    </row>
    <row r="91" spans="1:5" outlineLevel="3" x14ac:dyDescent="0.2">
      <c r="A91" s="22" t="s">
        <v>2</v>
      </c>
      <c r="B91" s="22" t="s">
        <v>6</v>
      </c>
      <c r="C91" s="22" t="s">
        <v>11</v>
      </c>
      <c r="D91" s="22">
        <v>12</v>
      </c>
      <c r="E91" s="22">
        <v>159</v>
      </c>
    </row>
    <row r="92" spans="1:5" outlineLevel="3" x14ac:dyDescent="0.2">
      <c r="A92" s="22" t="s">
        <v>2</v>
      </c>
      <c r="B92" s="22" t="s">
        <v>6</v>
      </c>
      <c r="C92" s="22" t="s">
        <v>12</v>
      </c>
      <c r="D92" s="22">
        <v>14</v>
      </c>
      <c r="E92" s="22">
        <v>355</v>
      </c>
    </row>
    <row r="93" spans="1:5" outlineLevel="2" x14ac:dyDescent="0.2">
      <c r="B93" s="38" t="s">
        <v>103</v>
      </c>
      <c r="D93" s="22">
        <f>SUBTOTAL(1,D90:D92)</f>
        <v>12.333333333333334</v>
      </c>
    </row>
    <row r="94" spans="1:5" outlineLevel="3" x14ac:dyDescent="0.2">
      <c r="A94" s="22" t="s">
        <v>2</v>
      </c>
      <c r="B94" s="22" t="s">
        <v>7</v>
      </c>
      <c r="C94" s="22" t="s">
        <v>12</v>
      </c>
      <c r="D94" s="22">
        <v>7</v>
      </c>
      <c r="E94" s="22">
        <v>457</v>
      </c>
    </row>
    <row r="95" spans="1:5" outlineLevel="3" x14ac:dyDescent="0.2">
      <c r="A95" s="22" t="s">
        <v>2</v>
      </c>
      <c r="B95" s="22" t="s">
        <v>7</v>
      </c>
      <c r="C95" s="22" t="s">
        <v>13</v>
      </c>
      <c r="D95" s="22">
        <v>11</v>
      </c>
      <c r="E95" s="22">
        <v>380</v>
      </c>
    </row>
    <row r="96" spans="1:5" outlineLevel="3" x14ac:dyDescent="0.2">
      <c r="A96" s="22" t="s">
        <v>2</v>
      </c>
      <c r="B96" s="22" t="s">
        <v>7</v>
      </c>
      <c r="C96" s="22" t="s">
        <v>11</v>
      </c>
      <c r="D96" s="22">
        <v>14</v>
      </c>
      <c r="E96" s="22">
        <v>135</v>
      </c>
    </row>
    <row r="97" spans="1:5" outlineLevel="2" x14ac:dyDescent="0.2">
      <c r="B97" s="38" t="s">
        <v>104</v>
      </c>
      <c r="D97" s="22">
        <f>SUBTOTAL(1,D94:D96)</f>
        <v>10.666666666666666</v>
      </c>
    </row>
    <row r="98" spans="1:5" outlineLevel="3" x14ac:dyDescent="0.2">
      <c r="A98" s="22" t="s">
        <v>2</v>
      </c>
      <c r="B98" s="22" t="s">
        <v>10</v>
      </c>
      <c r="C98" s="22" t="s">
        <v>11</v>
      </c>
      <c r="D98" s="22">
        <v>7</v>
      </c>
      <c r="E98" s="22">
        <v>155</v>
      </c>
    </row>
    <row r="99" spans="1:5" outlineLevel="3" x14ac:dyDescent="0.2">
      <c r="A99" s="22" t="s">
        <v>2</v>
      </c>
      <c r="B99" s="22" t="s">
        <v>10</v>
      </c>
      <c r="C99" s="22" t="s">
        <v>12</v>
      </c>
      <c r="D99" s="22">
        <v>11</v>
      </c>
      <c r="E99" s="22">
        <v>285</v>
      </c>
    </row>
    <row r="100" spans="1:5" outlineLevel="3" x14ac:dyDescent="0.2">
      <c r="A100" s="22" t="s">
        <v>2</v>
      </c>
      <c r="B100" s="22" t="s">
        <v>10</v>
      </c>
      <c r="C100" s="22" t="s">
        <v>13</v>
      </c>
      <c r="D100" s="22">
        <v>12</v>
      </c>
      <c r="E100" s="22">
        <v>272</v>
      </c>
    </row>
    <row r="101" spans="1:5" outlineLevel="2" x14ac:dyDescent="0.2">
      <c r="B101" s="38" t="s">
        <v>112</v>
      </c>
      <c r="D101" s="22">
        <f>SUBTOTAL(1,D98:D100)</f>
        <v>10</v>
      </c>
    </row>
    <row r="102" spans="1:5" outlineLevel="3" x14ac:dyDescent="0.2">
      <c r="A102" s="22" t="s">
        <v>2</v>
      </c>
      <c r="B102" s="22" t="s">
        <v>8</v>
      </c>
      <c r="C102" s="22" t="s">
        <v>13</v>
      </c>
      <c r="D102" s="22">
        <v>7</v>
      </c>
      <c r="E102" s="22">
        <v>443</v>
      </c>
    </row>
    <row r="103" spans="1:5" outlineLevel="3" x14ac:dyDescent="0.2">
      <c r="A103" s="22" t="s">
        <v>2</v>
      </c>
      <c r="B103" s="22" t="s">
        <v>8</v>
      </c>
      <c r="C103" s="22" t="s">
        <v>12</v>
      </c>
      <c r="D103" s="22">
        <v>14</v>
      </c>
      <c r="E103" s="22">
        <v>182</v>
      </c>
    </row>
    <row r="104" spans="1:5" outlineLevel="3" x14ac:dyDescent="0.2">
      <c r="A104" s="22" t="s">
        <v>2</v>
      </c>
      <c r="B104" s="22" t="s">
        <v>8</v>
      </c>
      <c r="C104" s="22" t="s">
        <v>11</v>
      </c>
      <c r="D104" s="22">
        <v>14</v>
      </c>
      <c r="E104" s="22">
        <v>356</v>
      </c>
    </row>
    <row r="105" spans="1:5" outlineLevel="2" x14ac:dyDescent="0.2">
      <c r="B105" s="38" t="s">
        <v>113</v>
      </c>
      <c r="D105" s="22">
        <f>SUBTOTAL(1,D102:D104)</f>
        <v>11.666666666666666</v>
      </c>
    </row>
    <row r="106" spans="1:5" outlineLevel="3" x14ac:dyDescent="0.2">
      <c r="A106" s="22" t="s">
        <v>2</v>
      </c>
      <c r="B106" s="22" t="s">
        <v>9</v>
      </c>
      <c r="C106" s="22" t="s">
        <v>13</v>
      </c>
      <c r="D106" s="22">
        <v>7</v>
      </c>
      <c r="E106" s="22">
        <v>301</v>
      </c>
    </row>
    <row r="107" spans="1:5" outlineLevel="3" x14ac:dyDescent="0.2">
      <c r="A107" s="22" t="s">
        <v>2</v>
      </c>
      <c r="B107" s="22" t="s">
        <v>9</v>
      </c>
      <c r="C107" s="22" t="s">
        <v>12</v>
      </c>
      <c r="D107" s="22">
        <v>14</v>
      </c>
      <c r="E107" s="22">
        <v>180</v>
      </c>
    </row>
    <row r="108" spans="1:5" outlineLevel="3" x14ac:dyDescent="0.2">
      <c r="A108" s="22" t="s">
        <v>2</v>
      </c>
      <c r="B108" s="22" t="s">
        <v>9</v>
      </c>
      <c r="C108" s="22" t="s">
        <v>11</v>
      </c>
      <c r="D108" s="22">
        <v>14</v>
      </c>
      <c r="E108" s="22">
        <v>383</v>
      </c>
    </row>
    <row r="109" spans="1:5" outlineLevel="2" x14ac:dyDescent="0.2">
      <c r="B109" s="38" t="s">
        <v>114</v>
      </c>
      <c r="D109" s="22">
        <f>SUBTOTAL(1,D106:D108)</f>
        <v>11.666666666666666</v>
      </c>
    </row>
    <row r="110" spans="1:5" outlineLevel="1" x14ac:dyDescent="0.2">
      <c r="A110" s="38" t="s">
        <v>95</v>
      </c>
      <c r="E110" s="22">
        <f>SUBTOTAL(9,E90:E108)</f>
        <v>4398</v>
      </c>
    </row>
    <row r="111" spans="1:5" outlineLevel="3" x14ac:dyDescent="0.2">
      <c r="A111" s="22" t="s">
        <v>4</v>
      </c>
      <c r="B111" s="22" t="s">
        <v>6</v>
      </c>
      <c r="C111" s="22" t="s">
        <v>13</v>
      </c>
      <c r="D111" s="22">
        <v>7</v>
      </c>
      <c r="E111" s="22">
        <v>426</v>
      </c>
    </row>
    <row r="112" spans="1:5" outlineLevel="3" x14ac:dyDescent="0.2">
      <c r="A112" s="22" t="s">
        <v>4</v>
      </c>
      <c r="B112" s="22" t="s">
        <v>6</v>
      </c>
      <c r="C112" s="22" t="s">
        <v>12</v>
      </c>
      <c r="D112" s="22">
        <v>12</v>
      </c>
      <c r="E112" s="22">
        <v>377</v>
      </c>
    </row>
    <row r="113" spans="1:5" outlineLevel="2" x14ac:dyDescent="0.2">
      <c r="B113" s="38" t="s">
        <v>103</v>
      </c>
      <c r="D113" s="22">
        <f>SUBTOTAL(1,D111:D112)</f>
        <v>9.5</v>
      </c>
    </row>
    <row r="114" spans="1:5" outlineLevel="3" x14ac:dyDescent="0.2">
      <c r="A114" s="22" t="s">
        <v>4</v>
      </c>
      <c r="B114" s="22" t="s">
        <v>7</v>
      </c>
      <c r="C114" s="22" t="s">
        <v>12</v>
      </c>
      <c r="D114" s="22">
        <v>7</v>
      </c>
      <c r="E114" s="22">
        <v>286</v>
      </c>
    </row>
    <row r="115" spans="1:5" outlineLevel="3" x14ac:dyDescent="0.2">
      <c r="A115" s="22" t="s">
        <v>4</v>
      </c>
      <c r="B115" s="22" t="s">
        <v>7</v>
      </c>
      <c r="C115" s="22" t="s">
        <v>13</v>
      </c>
      <c r="D115" s="22">
        <v>11</v>
      </c>
      <c r="E115" s="22">
        <v>316</v>
      </c>
    </row>
    <row r="116" spans="1:5" outlineLevel="3" x14ac:dyDescent="0.2">
      <c r="A116" s="22" t="s">
        <v>4</v>
      </c>
      <c r="B116" s="22" t="s">
        <v>7</v>
      </c>
      <c r="C116" s="22" t="s">
        <v>11</v>
      </c>
      <c r="D116" s="22">
        <v>14</v>
      </c>
      <c r="E116" s="22">
        <v>237</v>
      </c>
    </row>
    <row r="117" spans="1:5" outlineLevel="2" x14ac:dyDescent="0.2">
      <c r="B117" s="38" t="s">
        <v>104</v>
      </c>
      <c r="D117" s="22">
        <f>SUBTOTAL(1,D114:D116)</f>
        <v>10.666666666666666</v>
      </c>
    </row>
    <row r="118" spans="1:5" outlineLevel="3" x14ac:dyDescent="0.2">
      <c r="A118" s="22" t="s">
        <v>4</v>
      </c>
      <c r="B118" s="22" t="s">
        <v>10</v>
      </c>
      <c r="C118" s="22" t="s">
        <v>13</v>
      </c>
      <c r="D118" s="22">
        <v>7</v>
      </c>
      <c r="E118" s="22">
        <v>258</v>
      </c>
    </row>
    <row r="119" spans="1:5" outlineLevel="3" x14ac:dyDescent="0.2">
      <c r="A119" s="22" t="s">
        <v>4</v>
      </c>
      <c r="B119" s="22" t="s">
        <v>10</v>
      </c>
      <c r="C119" s="22" t="s">
        <v>12</v>
      </c>
      <c r="D119" s="22">
        <v>12</v>
      </c>
      <c r="E119" s="22">
        <v>290</v>
      </c>
    </row>
    <row r="120" spans="1:5" outlineLevel="3" x14ac:dyDescent="0.2">
      <c r="A120" s="22" t="s">
        <v>4</v>
      </c>
      <c r="B120" s="22" t="s">
        <v>10</v>
      </c>
      <c r="C120" s="22" t="s">
        <v>11</v>
      </c>
      <c r="D120" s="22">
        <v>12</v>
      </c>
      <c r="E120" s="22">
        <v>483</v>
      </c>
    </row>
    <row r="121" spans="1:5" outlineLevel="2" x14ac:dyDescent="0.2">
      <c r="B121" s="38" t="s">
        <v>112</v>
      </c>
      <c r="D121" s="22">
        <f>SUBTOTAL(1,D118:D120)</f>
        <v>10.333333333333334</v>
      </c>
    </row>
    <row r="122" spans="1:5" outlineLevel="3" x14ac:dyDescent="0.2">
      <c r="A122" s="22" t="s">
        <v>4</v>
      </c>
      <c r="B122" s="22" t="s">
        <v>8</v>
      </c>
      <c r="C122" s="22" t="s">
        <v>13</v>
      </c>
      <c r="D122" s="22">
        <v>7</v>
      </c>
      <c r="E122" s="22">
        <v>151</v>
      </c>
    </row>
    <row r="123" spans="1:5" outlineLevel="3" x14ac:dyDescent="0.2">
      <c r="A123" s="22" t="s">
        <v>4</v>
      </c>
      <c r="B123" s="22" t="s">
        <v>8</v>
      </c>
      <c r="C123" s="22" t="s">
        <v>12</v>
      </c>
      <c r="D123" s="22">
        <v>12</v>
      </c>
      <c r="E123" s="22">
        <v>289</v>
      </c>
    </row>
    <row r="124" spans="1:5" outlineLevel="3" x14ac:dyDescent="0.2">
      <c r="A124" s="22" t="s">
        <v>4</v>
      </c>
      <c r="B124" s="22" t="s">
        <v>8</v>
      </c>
      <c r="C124" s="22" t="s">
        <v>11</v>
      </c>
      <c r="D124" s="22">
        <v>12</v>
      </c>
      <c r="E124" s="22">
        <v>136</v>
      </c>
    </row>
    <row r="125" spans="1:5" outlineLevel="2" x14ac:dyDescent="0.2">
      <c r="B125" s="38" t="s">
        <v>113</v>
      </c>
      <c r="D125" s="22">
        <f>SUBTOTAL(1,D122:D124)</f>
        <v>10.333333333333334</v>
      </c>
    </row>
    <row r="126" spans="1:5" outlineLevel="3" x14ac:dyDescent="0.2">
      <c r="A126" s="22" t="s">
        <v>4</v>
      </c>
      <c r="B126" s="22" t="s">
        <v>9</v>
      </c>
      <c r="C126" s="22" t="s">
        <v>12</v>
      </c>
      <c r="D126" s="22">
        <v>7</v>
      </c>
      <c r="E126" s="22">
        <v>143</v>
      </c>
    </row>
    <row r="127" spans="1:5" outlineLevel="3" x14ac:dyDescent="0.2">
      <c r="A127" s="22" t="s">
        <v>4</v>
      </c>
      <c r="B127" s="22" t="s">
        <v>9</v>
      </c>
      <c r="C127" s="22" t="s">
        <v>13</v>
      </c>
      <c r="D127" s="22">
        <v>11</v>
      </c>
      <c r="E127" s="22">
        <v>351</v>
      </c>
    </row>
    <row r="128" spans="1:5" outlineLevel="3" x14ac:dyDescent="0.2">
      <c r="A128" s="22" t="s">
        <v>4</v>
      </c>
      <c r="B128" s="22" t="s">
        <v>9</v>
      </c>
      <c r="C128" s="22" t="s">
        <v>11</v>
      </c>
      <c r="D128" s="22">
        <v>14</v>
      </c>
      <c r="E128" s="22">
        <v>352</v>
      </c>
    </row>
    <row r="129" spans="1:5" outlineLevel="2" x14ac:dyDescent="0.2">
      <c r="B129" s="38" t="s">
        <v>114</v>
      </c>
      <c r="D129" s="22">
        <f>SUBTOTAL(1,D126:D128)</f>
        <v>10.666666666666666</v>
      </c>
    </row>
    <row r="130" spans="1:5" outlineLevel="1" x14ac:dyDescent="0.2">
      <c r="A130" s="38" t="s">
        <v>96</v>
      </c>
      <c r="E130" s="22">
        <f>SUBTOTAL(9,E111:E128)</f>
        <v>4095</v>
      </c>
    </row>
    <row r="131" spans="1:5" x14ac:dyDescent="0.2">
      <c r="A131" s="38"/>
      <c r="B131" s="38" t="s">
        <v>108</v>
      </c>
      <c r="D131" s="22">
        <f>SUBTOTAL(1,D6:D128)</f>
        <v>11.067415730337078</v>
      </c>
    </row>
    <row r="132" spans="1:5" x14ac:dyDescent="0.2">
      <c r="A132" s="38" t="s">
        <v>78</v>
      </c>
      <c r="E132" s="22">
        <f>SUBTOTAL(9,E6:E128)</f>
        <v>27273</v>
      </c>
    </row>
  </sheetData>
  <sortState xmlns:xlrd2="http://schemas.microsoft.com/office/spreadsheetml/2017/richdata2" ref="A6:E128">
    <sortCondition ref="A6:A128"/>
    <sortCondition ref="B6:B128"/>
  </sortState>
  <phoneticPr fontId="0" type="noConversion"/>
  <pageMargins left="0.7" right="0.7" top="0.78740157499999996" bottom="0.78740157499999996" header="0.3" footer="0.3"/>
  <pageSetup paperSize="9" orientation="portrait" r:id="rId1"/>
  <rowBreaks count="35" manualBreakCount="35">
    <brk id="9" max="16383" man="1"/>
    <brk id="13" max="16383" man="1"/>
    <brk id="17" max="16383" man="1"/>
    <brk id="21" max="16383" man="1"/>
    <brk id="25" max="16383" man="1"/>
    <brk id="26" max="16383" man="1"/>
    <brk id="30" max="16383" man="1"/>
    <brk id="34" max="16383" man="1"/>
    <brk id="38" max="16383" man="1"/>
    <brk id="42" max="16383" man="1"/>
    <brk id="46" max="16383" man="1"/>
    <brk id="47" max="16383" man="1"/>
    <brk id="51" max="16383" man="1"/>
    <brk id="55" max="16383" man="1"/>
    <brk id="59" max="16383" man="1"/>
    <brk id="63" max="16383" man="1"/>
    <brk id="67" max="16383" man="1"/>
    <brk id="68" max="16383" man="1"/>
    <brk id="72" max="16383" man="1"/>
    <brk id="76" max="16383" man="1"/>
    <brk id="80" max="16383" man="1"/>
    <brk id="84" max="16383" man="1"/>
    <brk id="88" max="16383" man="1"/>
    <brk id="89" max="16383" man="1"/>
    <brk id="93" max="16383" man="1"/>
    <brk id="97" max="16383" man="1"/>
    <brk id="101" max="16383" man="1"/>
    <brk id="105" max="16383" man="1"/>
    <brk id="109" max="16383" man="1"/>
    <brk id="110" max="16383" man="1"/>
    <brk id="113" max="16383" man="1"/>
    <brk id="117" max="16383" man="1"/>
    <brk id="121" max="16383" man="1"/>
    <brk id="125" max="16383" man="1"/>
    <brk id="132" max="16383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5"/>
  <sheetViews>
    <sheetView workbookViewId="0">
      <pane ySplit="6" topLeftCell="A7" activePane="bottomLeft" state="frozen"/>
      <selection pane="bottomLeft" activeCell="I30" sqref="I30"/>
    </sheetView>
  </sheetViews>
  <sheetFormatPr defaultRowHeight="12.75" outlineLevelRow="3" x14ac:dyDescent="0.2"/>
  <cols>
    <col min="1" max="1" width="14.85546875" bestFit="1" customWidth="1"/>
    <col min="7" max="7" width="17.42578125" customWidth="1"/>
  </cols>
  <sheetData>
    <row r="1" spans="1:7" ht="18" x14ac:dyDescent="0.2">
      <c r="A1" s="16" t="s">
        <v>20</v>
      </c>
    </row>
    <row r="5" spans="1:7" ht="13.5" thickBot="1" x14ac:dyDescent="0.25"/>
    <row r="6" spans="1:7" ht="16.5" thickTop="1" thickBot="1" x14ac:dyDescent="0.3">
      <c r="A6" s="34" t="s">
        <v>17</v>
      </c>
      <c r="B6" s="34" t="s">
        <v>69</v>
      </c>
      <c r="C6" s="34" t="s">
        <v>45</v>
      </c>
      <c r="D6" s="34" t="s">
        <v>44</v>
      </c>
      <c r="E6" s="34" t="s">
        <v>70</v>
      </c>
      <c r="F6" s="34" t="s">
        <v>71</v>
      </c>
      <c r="G6" s="34" t="s">
        <v>72</v>
      </c>
    </row>
    <row r="7" spans="1:7" ht="13.5" outlineLevel="3" thickTop="1" x14ac:dyDescent="0.2">
      <c r="A7" s="31" t="s">
        <v>64</v>
      </c>
      <c r="B7" s="31">
        <v>1995</v>
      </c>
      <c r="C7" s="31" t="s">
        <v>58</v>
      </c>
      <c r="D7" s="31" t="s">
        <v>52</v>
      </c>
      <c r="E7" s="31" t="s">
        <v>74</v>
      </c>
      <c r="F7" s="32">
        <v>4460</v>
      </c>
      <c r="G7" s="33">
        <f>F7*25.5</f>
        <v>113730</v>
      </c>
    </row>
    <row r="8" spans="1:7" outlineLevel="3" x14ac:dyDescent="0.2">
      <c r="A8" s="31" t="s">
        <v>64</v>
      </c>
      <c r="B8" s="31">
        <v>1990</v>
      </c>
      <c r="C8" s="31" t="s">
        <v>51</v>
      </c>
      <c r="D8" s="31" t="s">
        <v>52</v>
      </c>
      <c r="E8" s="31" t="s">
        <v>77</v>
      </c>
      <c r="F8" s="32">
        <v>4860</v>
      </c>
      <c r="G8" s="33">
        <f>F8*25.5</f>
        <v>123930</v>
      </c>
    </row>
    <row r="9" spans="1:7" outlineLevel="3" x14ac:dyDescent="0.2">
      <c r="A9" s="31" t="s">
        <v>64</v>
      </c>
      <c r="B9" s="31">
        <v>1990</v>
      </c>
      <c r="C9" s="31" t="s">
        <v>51</v>
      </c>
      <c r="D9" s="31" t="s">
        <v>52</v>
      </c>
      <c r="E9" s="31" t="s">
        <v>77</v>
      </c>
      <c r="F9" s="32">
        <v>4860</v>
      </c>
      <c r="G9" s="33">
        <f>F9*25.5</f>
        <v>123930</v>
      </c>
    </row>
    <row r="10" spans="1:7" outlineLevel="3" x14ac:dyDescent="0.2">
      <c r="A10" s="31" t="s">
        <v>64</v>
      </c>
      <c r="B10" s="31">
        <v>1989</v>
      </c>
      <c r="C10" s="31" t="s">
        <v>76</v>
      </c>
      <c r="D10" s="31" t="s">
        <v>52</v>
      </c>
      <c r="E10" s="31" t="s">
        <v>74</v>
      </c>
      <c r="F10" s="32">
        <v>5260</v>
      </c>
      <c r="G10" s="33">
        <f>F10*25.5</f>
        <v>134130</v>
      </c>
    </row>
    <row r="11" spans="1:7" outlineLevel="2" x14ac:dyDescent="0.2">
      <c r="A11" s="31"/>
      <c r="B11" s="31"/>
      <c r="C11" s="31"/>
      <c r="D11" s="39" t="s">
        <v>115</v>
      </c>
      <c r="E11" s="31"/>
      <c r="F11" s="32">
        <f>SUBTOTAL(1,F7:F10)</f>
        <v>4860</v>
      </c>
      <c r="G11" s="33"/>
    </row>
    <row r="12" spans="1:7" outlineLevel="3" x14ac:dyDescent="0.2">
      <c r="A12" s="31" t="s">
        <v>64</v>
      </c>
      <c r="B12" s="31">
        <v>1985</v>
      </c>
      <c r="C12" s="31" t="s">
        <v>53</v>
      </c>
      <c r="D12" s="31" t="s">
        <v>54</v>
      </c>
      <c r="E12" s="31" t="s">
        <v>73</v>
      </c>
      <c r="F12" s="32">
        <v>2560</v>
      </c>
      <c r="G12" s="33">
        <f>F12*25.5</f>
        <v>65280</v>
      </c>
    </row>
    <row r="13" spans="1:7" outlineLevel="3" x14ac:dyDescent="0.2">
      <c r="A13" s="31" t="s">
        <v>64</v>
      </c>
      <c r="B13" s="31">
        <v>1984</v>
      </c>
      <c r="C13" s="31" t="s">
        <v>58</v>
      </c>
      <c r="D13" s="31" t="s">
        <v>54</v>
      </c>
      <c r="E13" s="31" t="s">
        <v>73</v>
      </c>
      <c r="F13" s="32">
        <v>3360</v>
      </c>
      <c r="G13" s="33">
        <f>F13*25.5</f>
        <v>85680</v>
      </c>
    </row>
    <row r="14" spans="1:7" outlineLevel="3" x14ac:dyDescent="0.2">
      <c r="A14" s="31" t="s">
        <v>64</v>
      </c>
      <c r="B14" s="31">
        <v>1989</v>
      </c>
      <c r="C14" s="31" t="s">
        <v>76</v>
      </c>
      <c r="D14" s="31" t="s">
        <v>54</v>
      </c>
      <c r="E14" s="31" t="s">
        <v>77</v>
      </c>
      <c r="F14" s="32">
        <v>5260</v>
      </c>
      <c r="G14" s="33">
        <f>F14*25.5</f>
        <v>134130</v>
      </c>
    </row>
    <row r="15" spans="1:7" outlineLevel="3" x14ac:dyDescent="0.2">
      <c r="A15" s="31" t="s">
        <v>64</v>
      </c>
      <c r="B15" s="31">
        <v>1992</v>
      </c>
      <c r="C15" s="31" t="s">
        <v>51</v>
      </c>
      <c r="D15" s="31" t="s">
        <v>54</v>
      </c>
      <c r="E15" s="31" t="s">
        <v>73</v>
      </c>
      <c r="F15" s="32">
        <v>5460</v>
      </c>
      <c r="G15" s="33">
        <f>F15*25.5</f>
        <v>139230</v>
      </c>
    </row>
    <row r="16" spans="1:7" outlineLevel="3" x14ac:dyDescent="0.2">
      <c r="A16" s="31" t="s">
        <v>64</v>
      </c>
      <c r="B16" s="31">
        <v>1984</v>
      </c>
      <c r="C16" s="31" t="s">
        <v>53</v>
      </c>
      <c r="D16" s="31" t="s">
        <v>54</v>
      </c>
      <c r="E16" s="31" t="s">
        <v>74</v>
      </c>
      <c r="F16" s="32">
        <v>7960</v>
      </c>
      <c r="G16" s="33">
        <f>F16*25.5</f>
        <v>202980</v>
      </c>
    </row>
    <row r="17" spans="1:7" outlineLevel="2" x14ac:dyDescent="0.2">
      <c r="A17" s="31"/>
      <c r="B17" s="31"/>
      <c r="C17" s="31"/>
      <c r="D17" s="39" t="s">
        <v>116</v>
      </c>
      <c r="E17" s="31"/>
      <c r="F17" s="32">
        <f>SUBTOTAL(1,F12:F16)</f>
        <v>4920</v>
      </c>
      <c r="G17" s="33"/>
    </row>
    <row r="18" spans="1:7" outlineLevel="3" x14ac:dyDescent="0.2">
      <c r="A18" s="31" t="s">
        <v>64</v>
      </c>
      <c r="B18" s="31">
        <v>1993</v>
      </c>
      <c r="C18" s="31" t="s">
        <v>76</v>
      </c>
      <c r="D18" s="31" t="s">
        <v>56</v>
      </c>
      <c r="E18" s="31" t="s">
        <v>73</v>
      </c>
      <c r="F18" s="32">
        <v>3660</v>
      </c>
      <c r="G18" s="33">
        <f t="shared" ref="G18:G29" si="0">F18*25.5</f>
        <v>93330</v>
      </c>
    </row>
    <row r="19" spans="1:7" outlineLevel="3" x14ac:dyDescent="0.2">
      <c r="A19" s="31" t="s">
        <v>64</v>
      </c>
      <c r="B19" s="31">
        <v>1993</v>
      </c>
      <c r="C19" s="31" t="s">
        <v>76</v>
      </c>
      <c r="D19" s="31" t="s">
        <v>56</v>
      </c>
      <c r="E19" s="31" t="s">
        <v>77</v>
      </c>
      <c r="F19" s="32">
        <v>3660</v>
      </c>
      <c r="G19" s="33">
        <f t="shared" si="0"/>
        <v>93330</v>
      </c>
    </row>
    <row r="20" spans="1:7" outlineLevel="3" x14ac:dyDescent="0.2">
      <c r="A20" s="31" t="s">
        <v>64</v>
      </c>
      <c r="B20" s="31">
        <v>1988</v>
      </c>
      <c r="C20" s="31" t="s">
        <v>53</v>
      </c>
      <c r="D20" s="31" t="s">
        <v>56</v>
      </c>
      <c r="E20" s="31" t="s">
        <v>75</v>
      </c>
      <c r="F20" s="32">
        <v>5660</v>
      </c>
      <c r="G20" s="33">
        <f t="shared" si="0"/>
        <v>144330</v>
      </c>
    </row>
    <row r="21" spans="1:7" outlineLevel="3" x14ac:dyDescent="0.2">
      <c r="A21" s="31" t="s">
        <v>64</v>
      </c>
      <c r="B21" s="31">
        <v>1992</v>
      </c>
      <c r="C21" s="31" t="s">
        <v>51</v>
      </c>
      <c r="D21" s="31" t="s">
        <v>56</v>
      </c>
      <c r="E21" s="31" t="s">
        <v>73</v>
      </c>
      <c r="F21" s="32">
        <v>6260</v>
      </c>
      <c r="G21" s="33">
        <f t="shared" si="0"/>
        <v>159630</v>
      </c>
    </row>
    <row r="22" spans="1:7" outlineLevel="3" x14ac:dyDescent="0.2">
      <c r="A22" s="31" t="s">
        <v>64</v>
      </c>
      <c r="B22" s="31">
        <v>1986</v>
      </c>
      <c r="C22" s="31" t="s">
        <v>53</v>
      </c>
      <c r="D22" s="31" t="s">
        <v>56</v>
      </c>
      <c r="E22" s="31" t="s">
        <v>77</v>
      </c>
      <c r="F22" s="32">
        <v>6460</v>
      </c>
      <c r="G22" s="33">
        <f t="shared" si="0"/>
        <v>164730</v>
      </c>
    </row>
    <row r="23" spans="1:7" outlineLevel="3" x14ac:dyDescent="0.2">
      <c r="A23" s="31" t="s">
        <v>64</v>
      </c>
      <c r="B23" s="31">
        <v>1985</v>
      </c>
      <c r="C23" s="31" t="s">
        <v>58</v>
      </c>
      <c r="D23" s="31" t="s">
        <v>56</v>
      </c>
      <c r="E23" s="31" t="s">
        <v>73</v>
      </c>
      <c r="F23" s="32">
        <v>6860</v>
      </c>
      <c r="G23" s="33">
        <f t="shared" si="0"/>
        <v>174930</v>
      </c>
    </row>
    <row r="24" spans="1:7" outlineLevel="3" x14ac:dyDescent="0.2">
      <c r="A24" s="31" t="s">
        <v>64</v>
      </c>
      <c r="B24" s="31">
        <v>1984</v>
      </c>
      <c r="C24" s="31" t="s">
        <v>53</v>
      </c>
      <c r="D24" s="31" t="s">
        <v>56</v>
      </c>
      <c r="E24" s="31" t="s">
        <v>74</v>
      </c>
      <c r="F24" s="32">
        <v>7960</v>
      </c>
      <c r="G24" s="33">
        <f t="shared" si="0"/>
        <v>202980</v>
      </c>
    </row>
    <row r="25" spans="1:7" outlineLevel="3" x14ac:dyDescent="0.2">
      <c r="A25" s="31" t="s">
        <v>64</v>
      </c>
      <c r="B25" s="31">
        <v>1983</v>
      </c>
      <c r="C25" s="31" t="s">
        <v>58</v>
      </c>
      <c r="D25" s="31" t="s">
        <v>56</v>
      </c>
      <c r="E25" s="31" t="s">
        <v>75</v>
      </c>
      <c r="F25" s="32">
        <v>10860</v>
      </c>
      <c r="G25" s="33">
        <f t="shared" si="0"/>
        <v>276930</v>
      </c>
    </row>
    <row r="26" spans="1:7" outlineLevel="3" x14ac:dyDescent="0.2">
      <c r="A26" s="31" t="s">
        <v>64</v>
      </c>
      <c r="B26" s="31">
        <v>1991</v>
      </c>
      <c r="C26" s="31" t="s">
        <v>58</v>
      </c>
      <c r="D26" s="31" t="s">
        <v>56</v>
      </c>
      <c r="E26" s="31" t="s">
        <v>73</v>
      </c>
      <c r="F26" s="32">
        <v>11060</v>
      </c>
      <c r="G26" s="33">
        <f t="shared" si="0"/>
        <v>282030</v>
      </c>
    </row>
    <row r="27" spans="1:7" outlineLevel="3" x14ac:dyDescent="0.2">
      <c r="A27" s="31" t="s">
        <v>64</v>
      </c>
      <c r="B27" s="31">
        <v>1982</v>
      </c>
      <c r="C27" s="31" t="s">
        <v>76</v>
      </c>
      <c r="D27" s="31" t="s">
        <v>56</v>
      </c>
      <c r="E27" s="31" t="s">
        <v>73</v>
      </c>
      <c r="F27" s="32">
        <v>11260</v>
      </c>
      <c r="G27" s="33">
        <f t="shared" si="0"/>
        <v>287130</v>
      </c>
    </row>
    <row r="28" spans="1:7" outlineLevel="3" x14ac:dyDescent="0.2">
      <c r="A28" s="31" t="s">
        <v>64</v>
      </c>
      <c r="B28" s="31">
        <v>1981</v>
      </c>
      <c r="C28" s="31" t="s">
        <v>58</v>
      </c>
      <c r="D28" s="31" t="s">
        <v>56</v>
      </c>
      <c r="E28" s="31" t="s">
        <v>73</v>
      </c>
      <c r="F28" s="32">
        <v>11660</v>
      </c>
      <c r="G28" s="33">
        <f t="shared" si="0"/>
        <v>297330</v>
      </c>
    </row>
    <row r="29" spans="1:7" outlineLevel="3" x14ac:dyDescent="0.2">
      <c r="A29" s="31" t="s">
        <v>64</v>
      </c>
      <c r="B29" s="31">
        <v>1987</v>
      </c>
      <c r="C29" s="31" t="s">
        <v>58</v>
      </c>
      <c r="D29" s="31" t="s">
        <v>56</v>
      </c>
      <c r="E29" s="31" t="s">
        <v>73</v>
      </c>
      <c r="F29" s="32">
        <v>11860</v>
      </c>
      <c r="G29" s="33">
        <f t="shared" si="0"/>
        <v>302430</v>
      </c>
    </row>
    <row r="30" spans="1:7" outlineLevel="2" x14ac:dyDescent="0.2">
      <c r="A30" s="31"/>
      <c r="B30" s="31"/>
      <c r="C30" s="31"/>
      <c r="D30" s="39" t="s">
        <v>117</v>
      </c>
      <c r="E30" s="31"/>
      <c r="F30" s="32">
        <f>SUBTOTAL(1,F18:F29)</f>
        <v>8101.666666666667</v>
      </c>
      <c r="G30" s="33"/>
    </row>
    <row r="31" spans="1:7" outlineLevel="3" x14ac:dyDescent="0.2">
      <c r="A31" s="31" t="s">
        <v>64</v>
      </c>
      <c r="B31" s="31">
        <v>1995</v>
      </c>
      <c r="C31" s="31" t="s">
        <v>58</v>
      </c>
      <c r="D31" s="31" t="s">
        <v>50</v>
      </c>
      <c r="E31" s="31" t="s">
        <v>73</v>
      </c>
      <c r="F31" s="32">
        <v>2860</v>
      </c>
      <c r="G31" s="33">
        <f>F31*25.5</f>
        <v>72930</v>
      </c>
    </row>
    <row r="32" spans="1:7" outlineLevel="3" x14ac:dyDescent="0.2">
      <c r="A32" s="31" t="s">
        <v>64</v>
      </c>
      <c r="B32" s="31">
        <v>1995</v>
      </c>
      <c r="C32" s="31" t="s">
        <v>58</v>
      </c>
      <c r="D32" s="31" t="s">
        <v>50</v>
      </c>
      <c r="E32" s="31" t="s">
        <v>75</v>
      </c>
      <c r="F32" s="32">
        <v>2860</v>
      </c>
      <c r="G32" s="33">
        <f>F32*25.5</f>
        <v>72930</v>
      </c>
    </row>
    <row r="33" spans="1:7" outlineLevel="3" x14ac:dyDescent="0.2">
      <c r="A33" s="31" t="s">
        <v>64</v>
      </c>
      <c r="B33" s="31">
        <v>1994</v>
      </c>
      <c r="C33" s="31" t="s">
        <v>51</v>
      </c>
      <c r="D33" s="31" t="s">
        <v>50</v>
      </c>
      <c r="E33" s="31" t="s">
        <v>77</v>
      </c>
      <c r="F33" s="32">
        <v>3260</v>
      </c>
      <c r="G33" s="33">
        <f>F33*25.5</f>
        <v>83130</v>
      </c>
    </row>
    <row r="34" spans="1:7" outlineLevel="3" x14ac:dyDescent="0.2">
      <c r="A34" s="31" t="s">
        <v>64</v>
      </c>
      <c r="B34" s="31">
        <v>1995</v>
      </c>
      <c r="C34" s="31" t="s">
        <v>51</v>
      </c>
      <c r="D34" s="31" t="s">
        <v>50</v>
      </c>
      <c r="E34" s="31" t="s">
        <v>75</v>
      </c>
      <c r="F34" s="32">
        <v>3260</v>
      </c>
      <c r="G34" s="33">
        <f>F34*25.5</f>
        <v>83130</v>
      </c>
    </row>
    <row r="35" spans="1:7" outlineLevel="3" x14ac:dyDescent="0.2">
      <c r="A35" s="31" t="s">
        <v>64</v>
      </c>
      <c r="B35" s="31">
        <v>1980</v>
      </c>
      <c r="C35" s="31" t="s">
        <v>53</v>
      </c>
      <c r="D35" s="31" t="s">
        <v>50</v>
      </c>
      <c r="E35" s="31" t="s">
        <v>75</v>
      </c>
      <c r="F35" s="32">
        <v>12060</v>
      </c>
      <c r="G35" s="33">
        <f>F35*25.5</f>
        <v>307530</v>
      </c>
    </row>
    <row r="36" spans="1:7" outlineLevel="2" x14ac:dyDescent="0.2">
      <c r="A36" s="31"/>
      <c r="B36" s="31"/>
      <c r="C36" s="31"/>
      <c r="D36" s="39" t="s">
        <v>118</v>
      </c>
      <c r="E36" s="31"/>
      <c r="F36" s="32">
        <f>SUBTOTAL(1,F31:F35)</f>
        <v>4860</v>
      </c>
      <c r="G36" s="33"/>
    </row>
    <row r="37" spans="1:7" outlineLevel="1" x14ac:dyDescent="0.2">
      <c r="A37" s="39" t="s">
        <v>102</v>
      </c>
      <c r="B37" s="31"/>
      <c r="C37" s="31"/>
      <c r="D37" s="31"/>
      <c r="E37" s="31"/>
      <c r="F37" s="32">
        <f>SUBTOTAL(1,F7:F35)</f>
        <v>6367.6923076923076</v>
      </c>
      <c r="G37" s="33"/>
    </row>
    <row r="38" spans="1:7" outlineLevel="3" x14ac:dyDescent="0.2">
      <c r="A38" s="31" t="s">
        <v>65</v>
      </c>
      <c r="B38" s="31">
        <v>1995</v>
      </c>
      <c r="C38" s="31" t="s">
        <v>76</v>
      </c>
      <c r="D38" s="31" t="s">
        <v>52</v>
      </c>
      <c r="E38" s="31" t="s">
        <v>75</v>
      </c>
      <c r="F38" s="32">
        <v>4360</v>
      </c>
      <c r="G38" s="33">
        <f>F38*25.5</f>
        <v>111180</v>
      </c>
    </row>
    <row r="39" spans="1:7" outlineLevel="3" x14ac:dyDescent="0.2">
      <c r="A39" s="31" t="s">
        <v>65</v>
      </c>
      <c r="B39" s="31">
        <v>1989</v>
      </c>
      <c r="C39" s="31" t="s">
        <v>58</v>
      </c>
      <c r="D39" s="31" t="s">
        <v>52</v>
      </c>
      <c r="E39" s="31" t="s">
        <v>74</v>
      </c>
      <c r="F39" s="32">
        <v>5160</v>
      </c>
      <c r="G39" s="33">
        <f>F39*25.5</f>
        <v>131580</v>
      </c>
    </row>
    <row r="40" spans="1:7" outlineLevel="2" x14ac:dyDescent="0.2">
      <c r="A40" s="31"/>
      <c r="B40" s="31"/>
      <c r="C40" s="31"/>
      <c r="D40" s="39" t="s">
        <v>115</v>
      </c>
      <c r="E40" s="31"/>
      <c r="F40" s="32">
        <f>SUBTOTAL(1,F38:F39)</f>
        <v>4760</v>
      </c>
      <c r="G40" s="33"/>
    </row>
    <row r="41" spans="1:7" outlineLevel="3" x14ac:dyDescent="0.2">
      <c r="A41" s="31" t="s">
        <v>65</v>
      </c>
      <c r="B41" s="31">
        <v>1992</v>
      </c>
      <c r="C41" s="31" t="s">
        <v>58</v>
      </c>
      <c r="D41" s="31" t="s">
        <v>54</v>
      </c>
      <c r="E41" s="31" t="s">
        <v>77</v>
      </c>
      <c r="F41" s="32">
        <v>3960</v>
      </c>
      <c r="G41" s="33">
        <f t="shared" ref="G41:G48" si="1">F41*25.5</f>
        <v>100980</v>
      </c>
    </row>
    <row r="42" spans="1:7" outlineLevel="3" x14ac:dyDescent="0.2">
      <c r="A42" s="31" t="s">
        <v>65</v>
      </c>
      <c r="B42" s="31">
        <v>1991</v>
      </c>
      <c r="C42" s="31" t="s">
        <v>76</v>
      </c>
      <c r="D42" s="31" t="s">
        <v>54</v>
      </c>
      <c r="E42" s="31" t="s">
        <v>77</v>
      </c>
      <c r="F42" s="32">
        <v>4360</v>
      </c>
      <c r="G42" s="33">
        <f t="shared" si="1"/>
        <v>111180</v>
      </c>
    </row>
    <row r="43" spans="1:7" outlineLevel="3" x14ac:dyDescent="0.2">
      <c r="A43" s="31" t="s">
        <v>65</v>
      </c>
      <c r="B43" s="31">
        <v>1989</v>
      </c>
      <c r="C43" s="31" t="s">
        <v>58</v>
      </c>
      <c r="D43" s="31" t="s">
        <v>54</v>
      </c>
      <c r="E43" s="31" t="s">
        <v>77</v>
      </c>
      <c r="F43" s="32">
        <v>5160</v>
      </c>
      <c r="G43" s="33">
        <f t="shared" si="1"/>
        <v>131580</v>
      </c>
    </row>
    <row r="44" spans="1:7" outlineLevel="3" x14ac:dyDescent="0.2">
      <c r="A44" s="31" t="s">
        <v>65</v>
      </c>
      <c r="B44" s="31">
        <v>1985</v>
      </c>
      <c r="C44" s="31" t="s">
        <v>51</v>
      </c>
      <c r="D44" s="31" t="s">
        <v>54</v>
      </c>
      <c r="E44" s="31" t="s">
        <v>77</v>
      </c>
      <c r="F44" s="32">
        <v>6360</v>
      </c>
      <c r="G44" s="33">
        <f t="shared" si="1"/>
        <v>162180</v>
      </c>
    </row>
    <row r="45" spans="1:7" outlineLevel="3" x14ac:dyDescent="0.2">
      <c r="A45" s="31" t="s">
        <v>65</v>
      </c>
      <c r="B45" s="31">
        <v>1986</v>
      </c>
      <c r="C45" s="31" t="s">
        <v>51</v>
      </c>
      <c r="D45" s="31" t="s">
        <v>54</v>
      </c>
      <c r="E45" s="31" t="s">
        <v>75</v>
      </c>
      <c r="F45" s="32">
        <v>6360</v>
      </c>
      <c r="G45" s="33">
        <f t="shared" si="1"/>
        <v>162180</v>
      </c>
    </row>
    <row r="46" spans="1:7" outlineLevel="3" x14ac:dyDescent="0.2">
      <c r="A46" s="31" t="s">
        <v>65</v>
      </c>
      <c r="B46" s="31">
        <v>1985</v>
      </c>
      <c r="C46" s="31" t="s">
        <v>76</v>
      </c>
      <c r="D46" s="31" t="s">
        <v>54</v>
      </c>
      <c r="E46" s="31" t="s">
        <v>74</v>
      </c>
      <c r="F46" s="32">
        <v>6760</v>
      </c>
      <c r="G46" s="33">
        <f t="shared" si="1"/>
        <v>172380</v>
      </c>
    </row>
    <row r="47" spans="1:7" outlineLevel="3" x14ac:dyDescent="0.2">
      <c r="A47" s="31" t="s">
        <v>65</v>
      </c>
      <c r="B47" s="31">
        <v>1984</v>
      </c>
      <c r="C47" s="31" t="s">
        <v>51</v>
      </c>
      <c r="D47" s="31" t="s">
        <v>54</v>
      </c>
      <c r="E47" s="31" t="s">
        <v>73</v>
      </c>
      <c r="F47" s="32">
        <v>7160</v>
      </c>
      <c r="G47" s="33">
        <f t="shared" si="1"/>
        <v>182580</v>
      </c>
    </row>
    <row r="48" spans="1:7" outlineLevel="3" x14ac:dyDescent="0.2">
      <c r="A48" s="31" t="s">
        <v>65</v>
      </c>
      <c r="B48" s="31">
        <v>1984</v>
      </c>
      <c r="C48" s="31" t="s">
        <v>51</v>
      </c>
      <c r="D48" s="31" t="s">
        <v>54</v>
      </c>
      <c r="E48" s="31" t="s">
        <v>74</v>
      </c>
      <c r="F48" s="32">
        <v>7160</v>
      </c>
      <c r="G48" s="33">
        <f t="shared" si="1"/>
        <v>182580</v>
      </c>
    </row>
    <row r="49" spans="1:7" outlineLevel="2" x14ac:dyDescent="0.2">
      <c r="A49" s="31"/>
      <c r="B49" s="31"/>
      <c r="C49" s="31"/>
      <c r="D49" s="39" t="s">
        <v>116</v>
      </c>
      <c r="E49" s="31"/>
      <c r="F49" s="32">
        <f>SUBTOTAL(1,F41:F48)</f>
        <v>5910</v>
      </c>
      <c r="G49" s="33"/>
    </row>
    <row r="50" spans="1:7" outlineLevel="3" x14ac:dyDescent="0.2">
      <c r="A50" s="31" t="s">
        <v>65</v>
      </c>
      <c r="B50" s="31">
        <v>1995</v>
      </c>
      <c r="C50" s="31" t="s">
        <v>58</v>
      </c>
      <c r="D50" s="31" t="s">
        <v>56</v>
      </c>
      <c r="E50" s="31" t="s">
        <v>73</v>
      </c>
      <c r="F50" s="32">
        <v>3560</v>
      </c>
      <c r="G50" s="33">
        <f>F50*25.5</f>
        <v>90780</v>
      </c>
    </row>
    <row r="51" spans="1:7" outlineLevel="3" x14ac:dyDescent="0.2">
      <c r="A51" s="31" t="s">
        <v>65</v>
      </c>
      <c r="B51" s="31">
        <v>1992</v>
      </c>
      <c r="C51" s="31" t="s">
        <v>58</v>
      </c>
      <c r="D51" s="31" t="s">
        <v>56</v>
      </c>
      <c r="E51" s="31" t="s">
        <v>75</v>
      </c>
      <c r="F51" s="32">
        <v>3960</v>
      </c>
      <c r="G51" s="33">
        <f>F51*25.5</f>
        <v>100980</v>
      </c>
    </row>
    <row r="52" spans="1:7" outlineLevel="3" x14ac:dyDescent="0.2">
      <c r="A52" s="31" t="s">
        <v>65</v>
      </c>
      <c r="B52" s="31">
        <v>1983</v>
      </c>
      <c r="C52" s="31" t="s">
        <v>76</v>
      </c>
      <c r="D52" s="31" t="s">
        <v>56</v>
      </c>
      <c r="E52" s="31" t="s">
        <v>75</v>
      </c>
      <c r="F52" s="32">
        <v>10760</v>
      </c>
      <c r="G52" s="33">
        <f>F52*25.5</f>
        <v>274380</v>
      </c>
    </row>
    <row r="53" spans="1:7" outlineLevel="3" x14ac:dyDescent="0.2">
      <c r="A53" s="31" t="s">
        <v>65</v>
      </c>
      <c r="B53" s="31">
        <v>1982</v>
      </c>
      <c r="C53" s="31" t="s">
        <v>53</v>
      </c>
      <c r="D53" s="31" t="s">
        <v>56</v>
      </c>
      <c r="E53" s="31" t="s">
        <v>73</v>
      </c>
      <c r="F53" s="32">
        <v>11160</v>
      </c>
      <c r="G53" s="33">
        <f>F53*25.5</f>
        <v>284580</v>
      </c>
    </row>
    <row r="54" spans="1:7" outlineLevel="2" x14ac:dyDescent="0.2">
      <c r="A54" s="31"/>
      <c r="B54" s="31"/>
      <c r="C54" s="31"/>
      <c r="D54" s="39" t="s">
        <v>117</v>
      </c>
      <c r="E54" s="31"/>
      <c r="F54" s="32">
        <f>SUBTOTAL(1,F50:F53)</f>
        <v>7360</v>
      </c>
      <c r="G54" s="33"/>
    </row>
    <row r="55" spans="1:7" outlineLevel="3" x14ac:dyDescent="0.2">
      <c r="A55" s="31" t="s">
        <v>65</v>
      </c>
      <c r="B55" s="31">
        <v>1995</v>
      </c>
      <c r="C55" s="31" t="s">
        <v>76</v>
      </c>
      <c r="D55" s="31" t="s">
        <v>50</v>
      </c>
      <c r="E55" s="31" t="s">
        <v>77</v>
      </c>
      <c r="F55" s="32">
        <v>2760</v>
      </c>
      <c r="G55" s="33">
        <f t="shared" ref="G55:G68" si="2">F55*25.5</f>
        <v>70380</v>
      </c>
    </row>
    <row r="56" spans="1:7" outlineLevel="3" x14ac:dyDescent="0.2">
      <c r="A56" s="31" t="s">
        <v>65</v>
      </c>
      <c r="B56" s="31">
        <v>1995</v>
      </c>
      <c r="C56" s="31" t="s">
        <v>76</v>
      </c>
      <c r="D56" s="31" t="s">
        <v>50</v>
      </c>
      <c r="E56" s="31" t="s">
        <v>75</v>
      </c>
      <c r="F56" s="32">
        <v>2760</v>
      </c>
      <c r="G56" s="33">
        <f t="shared" si="2"/>
        <v>70380</v>
      </c>
    </row>
    <row r="57" spans="1:7" outlineLevel="3" x14ac:dyDescent="0.2">
      <c r="A57" s="31" t="s">
        <v>65</v>
      </c>
      <c r="B57" s="31">
        <v>1994</v>
      </c>
      <c r="C57" s="31" t="s">
        <v>53</v>
      </c>
      <c r="D57" s="31" t="s">
        <v>50</v>
      </c>
      <c r="E57" s="31" t="s">
        <v>73</v>
      </c>
      <c r="F57" s="32">
        <v>3160</v>
      </c>
      <c r="G57" s="33">
        <f t="shared" si="2"/>
        <v>80580</v>
      </c>
    </row>
    <row r="58" spans="1:7" outlineLevel="3" x14ac:dyDescent="0.2">
      <c r="A58" s="31" t="s">
        <v>65</v>
      </c>
      <c r="B58" s="31">
        <v>1995</v>
      </c>
      <c r="C58" s="31" t="s">
        <v>53</v>
      </c>
      <c r="D58" s="31" t="s">
        <v>50</v>
      </c>
      <c r="E58" s="31" t="s">
        <v>75</v>
      </c>
      <c r="F58" s="32">
        <v>3160</v>
      </c>
      <c r="G58" s="33">
        <f t="shared" si="2"/>
        <v>80580</v>
      </c>
    </row>
    <row r="59" spans="1:7" outlineLevel="3" x14ac:dyDescent="0.2">
      <c r="A59" s="31" t="s">
        <v>65</v>
      </c>
      <c r="B59" s="31">
        <v>1993</v>
      </c>
      <c r="C59" s="31" t="s">
        <v>58</v>
      </c>
      <c r="D59" s="31" t="s">
        <v>50</v>
      </c>
      <c r="E59" s="31" t="s">
        <v>75</v>
      </c>
      <c r="F59" s="32">
        <v>3560</v>
      </c>
      <c r="G59" s="33">
        <f t="shared" si="2"/>
        <v>90780</v>
      </c>
    </row>
    <row r="60" spans="1:7" outlineLevel="3" x14ac:dyDescent="0.2">
      <c r="A60" s="31" t="s">
        <v>65</v>
      </c>
      <c r="B60" s="31">
        <v>1991</v>
      </c>
      <c r="C60" s="31" t="s">
        <v>76</v>
      </c>
      <c r="D60" s="31" t="s">
        <v>50</v>
      </c>
      <c r="E60" s="31" t="s">
        <v>75</v>
      </c>
      <c r="F60" s="32">
        <v>4360</v>
      </c>
      <c r="G60" s="33">
        <f t="shared" si="2"/>
        <v>111180</v>
      </c>
    </row>
    <row r="61" spans="1:7" outlineLevel="3" x14ac:dyDescent="0.2">
      <c r="A61" s="31" t="s">
        <v>65</v>
      </c>
      <c r="B61" s="31">
        <v>1990</v>
      </c>
      <c r="C61" s="31" t="s">
        <v>53</v>
      </c>
      <c r="D61" s="31" t="s">
        <v>50</v>
      </c>
      <c r="E61" s="31" t="s">
        <v>73</v>
      </c>
      <c r="F61" s="32">
        <v>4760</v>
      </c>
      <c r="G61" s="33">
        <f t="shared" si="2"/>
        <v>121380</v>
      </c>
    </row>
    <row r="62" spans="1:7" outlineLevel="3" x14ac:dyDescent="0.2">
      <c r="A62" s="31" t="s">
        <v>65</v>
      </c>
      <c r="B62" s="31">
        <v>1990</v>
      </c>
      <c r="C62" s="31" t="s">
        <v>53</v>
      </c>
      <c r="D62" s="31" t="s">
        <v>50</v>
      </c>
      <c r="E62" s="31" t="s">
        <v>77</v>
      </c>
      <c r="F62" s="32">
        <v>4760</v>
      </c>
      <c r="G62" s="33">
        <f t="shared" si="2"/>
        <v>121380</v>
      </c>
    </row>
    <row r="63" spans="1:7" outlineLevel="3" x14ac:dyDescent="0.2">
      <c r="A63" s="31" t="s">
        <v>65</v>
      </c>
      <c r="B63" s="31">
        <v>1990</v>
      </c>
      <c r="C63" s="31" t="s">
        <v>53</v>
      </c>
      <c r="D63" s="31" t="s">
        <v>50</v>
      </c>
      <c r="E63" s="31" t="s">
        <v>75</v>
      </c>
      <c r="F63" s="32">
        <v>4760</v>
      </c>
      <c r="G63" s="33">
        <f t="shared" si="2"/>
        <v>121380</v>
      </c>
    </row>
    <row r="64" spans="1:7" outlineLevel="3" x14ac:dyDescent="0.2">
      <c r="A64" s="31" t="s">
        <v>65</v>
      </c>
      <c r="B64" s="31">
        <v>1988</v>
      </c>
      <c r="C64" s="31" t="s">
        <v>51</v>
      </c>
      <c r="D64" s="31" t="s">
        <v>50</v>
      </c>
      <c r="E64" s="31" t="s">
        <v>73</v>
      </c>
      <c r="F64" s="32">
        <v>5560</v>
      </c>
      <c r="G64" s="33">
        <f t="shared" si="2"/>
        <v>141780</v>
      </c>
    </row>
    <row r="65" spans="1:7" outlineLevel="3" x14ac:dyDescent="0.2">
      <c r="A65" s="31" t="s">
        <v>65</v>
      </c>
      <c r="B65" s="31">
        <v>1987</v>
      </c>
      <c r="C65" s="31" t="s">
        <v>76</v>
      </c>
      <c r="D65" s="31" t="s">
        <v>50</v>
      </c>
      <c r="E65" s="31" t="s">
        <v>73</v>
      </c>
      <c r="F65" s="32">
        <v>5960</v>
      </c>
      <c r="G65" s="33">
        <f t="shared" si="2"/>
        <v>151980</v>
      </c>
    </row>
    <row r="66" spans="1:7" outlineLevel="3" x14ac:dyDescent="0.2">
      <c r="A66" s="31" t="s">
        <v>65</v>
      </c>
      <c r="B66" s="31">
        <v>1985</v>
      </c>
      <c r="C66" s="31" t="s">
        <v>76</v>
      </c>
      <c r="D66" s="31" t="s">
        <v>50</v>
      </c>
      <c r="E66" s="31" t="s">
        <v>74</v>
      </c>
      <c r="F66" s="32">
        <v>6760</v>
      </c>
      <c r="G66" s="33">
        <f t="shared" si="2"/>
        <v>172380</v>
      </c>
    </row>
    <row r="67" spans="1:7" outlineLevel="3" x14ac:dyDescent="0.2">
      <c r="A67" s="31" t="s">
        <v>65</v>
      </c>
      <c r="B67" s="31">
        <v>1981</v>
      </c>
      <c r="C67" s="31" t="s">
        <v>76</v>
      </c>
      <c r="D67" s="31" t="s">
        <v>50</v>
      </c>
      <c r="E67" s="31" t="s">
        <v>75</v>
      </c>
      <c r="F67" s="32">
        <v>11560</v>
      </c>
      <c r="G67" s="33">
        <f t="shared" si="2"/>
        <v>294780</v>
      </c>
    </row>
    <row r="68" spans="1:7" outlineLevel="3" x14ac:dyDescent="0.2">
      <c r="A68" s="31" t="s">
        <v>65</v>
      </c>
      <c r="B68" s="31">
        <v>1980</v>
      </c>
      <c r="C68" s="31" t="s">
        <v>51</v>
      </c>
      <c r="D68" s="31" t="s">
        <v>50</v>
      </c>
      <c r="E68" s="31" t="s">
        <v>75</v>
      </c>
      <c r="F68" s="32">
        <v>11960</v>
      </c>
      <c r="G68" s="33">
        <f t="shared" si="2"/>
        <v>304980</v>
      </c>
    </row>
    <row r="69" spans="1:7" outlineLevel="2" x14ac:dyDescent="0.2">
      <c r="A69" s="31"/>
      <c r="B69" s="31"/>
      <c r="C69" s="31"/>
      <c r="D69" s="39" t="s">
        <v>118</v>
      </c>
      <c r="E69" s="31"/>
      <c r="F69" s="32">
        <f>SUBTOTAL(1,F55:F68)</f>
        <v>5417.1428571428569</v>
      </c>
      <c r="G69" s="33"/>
    </row>
    <row r="70" spans="1:7" outlineLevel="1" x14ac:dyDescent="0.2">
      <c r="A70" s="39" t="s">
        <v>105</v>
      </c>
      <c r="B70" s="31"/>
      <c r="C70" s="31"/>
      <c r="D70" s="31"/>
      <c r="E70" s="31"/>
      <c r="F70" s="32">
        <f>SUBTOTAL(1,F38:F68)</f>
        <v>5788.5714285714284</v>
      </c>
      <c r="G70" s="33"/>
    </row>
    <row r="71" spans="1:7" outlineLevel="3" x14ac:dyDescent="0.2">
      <c r="A71" s="31" t="s">
        <v>49</v>
      </c>
      <c r="B71" s="31">
        <v>1990</v>
      </c>
      <c r="C71" s="31" t="s">
        <v>53</v>
      </c>
      <c r="D71" s="31" t="s">
        <v>52</v>
      </c>
      <c r="E71" s="31" t="s">
        <v>77</v>
      </c>
      <c r="F71" s="32">
        <v>4260</v>
      </c>
      <c r="G71" s="33">
        <f>F71*25.5</f>
        <v>108630</v>
      </c>
    </row>
    <row r="72" spans="1:7" outlineLevel="3" x14ac:dyDescent="0.2">
      <c r="A72" s="31" t="s">
        <v>49</v>
      </c>
      <c r="B72" s="31">
        <v>1989</v>
      </c>
      <c r="C72" s="31" t="s">
        <v>53</v>
      </c>
      <c r="D72" s="31" t="s">
        <v>52</v>
      </c>
      <c r="E72" s="31" t="s">
        <v>74</v>
      </c>
      <c r="F72" s="32">
        <v>5060</v>
      </c>
      <c r="G72" s="33">
        <f>F72*25.5</f>
        <v>129030</v>
      </c>
    </row>
    <row r="73" spans="1:7" outlineLevel="3" x14ac:dyDescent="0.2">
      <c r="A73" s="31" t="s">
        <v>49</v>
      </c>
      <c r="B73" s="31">
        <v>1991</v>
      </c>
      <c r="C73" s="31" t="s">
        <v>53</v>
      </c>
      <c r="D73" s="31" t="s">
        <v>52</v>
      </c>
      <c r="E73" s="31" t="s">
        <v>73</v>
      </c>
      <c r="F73" s="32">
        <v>11860</v>
      </c>
      <c r="G73" s="33">
        <f>F73*25.5</f>
        <v>302430</v>
      </c>
    </row>
    <row r="74" spans="1:7" outlineLevel="2" x14ac:dyDescent="0.2">
      <c r="A74" s="31"/>
      <c r="B74" s="31"/>
      <c r="C74" s="31"/>
      <c r="D74" s="39" t="s">
        <v>115</v>
      </c>
      <c r="E74" s="31"/>
      <c r="F74" s="32">
        <f>SUBTOTAL(1,F71:F73)</f>
        <v>7060</v>
      </c>
      <c r="G74" s="33"/>
    </row>
    <row r="75" spans="1:7" outlineLevel="3" x14ac:dyDescent="0.2">
      <c r="A75" s="31" t="s">
        <v>49</v>
      </c>
      <c r="B75" s="31">
        <v>1990</v>
      </c>
      <c r="C75" s="31" t="s">
        <v>51</v>
      </c>
      <c r="D75" s="31" t="s">
        <v>54</v>
      </c>
      <c r="E75" s="31" t="s">
        <v>73</v>
      </c>
      <c r="F75" s="32">
        <v>2560</v>
      </c>
      <c r="G75" s="33">
        <f t="shared" ref="G75:G90" si="3">F75*25.5</f>
        <v>65280</v>
      </c>
    </row>
    <row r="76" spans="1:7" outlineLevel="3" x14ac:dyDescent="0.2">
      <c r="A76" s="31" t="s">
        <v>49</v>
      </c>
      <c r="B76" s="31">
        <v>1995</v>
      </c>
      <c r="C76" s="31" t="s">
        <v>53</v>
      </c>
      <c r="D76" s="31" t="s">
        <v>54</v>
      </c>
      <c r="E76" s="31" t="s">
        <v>75</v>
      </c>
      <c r="F76" s="32">
        <v>2660</v>
      </c>
      <c r="G76" s="33">
        <f t="shared" si="3"/>
        <v>67830</v>
      </c>
    </row>
    <row r="77" spans="1:7" outlineLevel="3" x14ac:dyDescent="0.2">
      <c r="A77" s="31" t="s">
        <v>49</v>
      </c>
      <c r="B77" s="31">
        <v>1994</v>
      </c>
      <c r="C77" s="31" t="s">
        <v>51</v>
      </c>
      <c r="D77" s="31" t="s">
        <v>54</v>
      </c>
      <c r="E77" s="31" t="s">
        <v>73</v>
      </c>
      <c r="F77" s="32">
        <v>3060</v>
      </c>
      <c r="G77" s="33">
        <f t="shared" si="3"/>
        <v>78030</v>
      </c>
    </row>
    <row r="78" spans="1:7" outlineLevel="3" x14ac:dyDescent="0.2">
      <c r="A78" s="31" t="s">
        <v>49</v>
      </c>
      <c r="B78" s="31">
        <v>1990</v>
      </c>
      <c r="C78" s="31" t="s">
        <v>51</v>
      </c>
      <c r="D78" s="31" t="s">
        <v>54</v>
      </c>
      <c r="E78" s="31" t="s">
        <v>73</v>
      </c>
      <c r="F78" s="32">
        <v>3360</v>
      </c>
      <c r="G78" s="33">
        <f t="shared" si="3"/>
        <v>85680</v>
      </c>
    </row>
    <row r="79" spans="1:7" outlineLevel="3" x14ac:dyDescent="0.2">
      <c r="A79" s="31" t="s">
        <v>49</v>
      </c>
      <c r="B79" s="31">
        <v>1995</v>
      </c>
      <c r="C79" s="31" t="s">
        <v>53</v>
      </c>
      <c r="D79" s="31" t="s">
        <v>54</v>
      </c>
      <c r="E79" s="31" t="s">
        <v>75</v>
      </c>
      <c r="F79" s="32">
        <v>3860</v>
      </c>
      <c r="G79" s="33">
        <f t="shared" si="3"/>
        <v>98430</v>
      </c>
    </row>
    <row r="80" spans="1:7" outlineLevel="3" x14ac:dyDescent="0.2">
      <c r="A80" s="31" t="s">
        <v>49</v>
      </c>
      <c r="B80" s="31">
        <v>1990</v>
      </c>
      <c r="C80" s="31" t="s">
        <v>51</v>
      </c>
      <c r="D80" s="31" t="s">
        <v>54</v>
      </c>
      <c r="E80" s="31" t="s">
        <v>75</v>
      </c>
      <c r="F80" s="32">
        <v>4660</v>
      </c>
      <c r="G80" s="33">
        <f t="shared" si="3"/>
        <v>118830</v>
      </c>
    </row>
    <row r="81" spans="1:7" outlineLevel="3" x14ac:dyDescent="0.2">
      <c r="A81" s="31" t="s">
        <v>49</v>
      </c>
      <c r="B81" s="31">
        <v>1989</v>
      </c>
      <c r="C81" s="31" t="s">
        <v>53</v>
      </c>
      <c r="D81" s="31" t="s">
        <v>54</v>
      </c>
      <c r="E81" s="31" t="s">
        <v>77</v>
      </c>
      <c r="F81" s="32">
        <v>5060</v>
      </c>
      <c r="G81" s="33">
        <f t="shared" si="3"/>
        <v>129030</v>
      </c>
    </row>
    <row r="82" spans="1:7" outlineLevel="3" x14ac:dyDescent="0.2">
      <c r="A82" s="31" t="s">
        <v>49</v>
      </c>
      <c r="B82" s="31">
        <v>1987</v>
      </c>
      <c r="C82" s="31" t="s">
        <v>53</v>
      </c>
      <c r="D82" s="31" t="s">
        <v>54</v>
      </c>
      <c r="E82" s="31" t="s">
        <v>75</v>
      </c>
      <c r="F82" s="32">
        <v>5860</v>
      </c>
      <c r="G82" s="33">
        <f t="shared" si="3"/>
        <v>149430</v>
      </c>
    </row>
    <row r="83" spans="1:7" outlineLevel="3" x14ac:dyDescent="0.2">
      <c r="A83" s="31" t="s">
        <v>49</v>
      </c>
      <c r="B83" s="31">
        <v>1992</v>
      </c>
      <c r="C83" s="31" t="s">
        <v>53</v>
      </c>
      <c r="D83" s="31" t="s">
        <v>54</v>
      </c>
      <c r="E83" s="31" t="s">
        <v>73</v>
      </c>
      <c r="F83" s="32">
        <v>6260</v>
      </c>
      <c r="G83" s="33">
        <f t="shared" si="3"/>
        <v>159630</v>
      </c>
    </row>
    <row r="84" spans="1:7" outlineLevel="3" x14ac:dyDescent="0.2">
      <c r="A84" s="31" t="s">
        <v>49</v>
      </c>
      <c r="B84" s="31">
        <v>1985</v>
      </c>
      <c r="C84" s="31" t="s">
        <v>76</v>
      </c>
      <c r="D84" s="31" t="s">
        <v>54</v>
      </c>
      <c r="E84" s="31" t="s">
        <v>73</v>
      </c>
      <c r="F84" s="32">
        <v>6260</v>
      </c>
      <c r="G84" s="33">
        <f t="shared" si="3"/>
        <v>159630</v>
      </c>
    </row>
    <row r="85" spans="1:7" outlineLevel="3" x14ac:dyDescent="0.2">
      <c r="A85" s="31" t="s">
        <v>49</v>
      </c>
      <c r="B85" s="31">
        <v>1985</v>
      </c>
      <c r="C85" s="31" t="s">
        <v>76</v>
      </c>
      <c r="D85" s="31" t="s">
        <v>54</v>
      </c>
      <c r="E85" s="31" t="s">
        <v>77</v>
      </c>
      <c r="F85" s="32">
        <v>6660</v>
      </c>
      <c r="G85" s="33">
        <f t="shared" si="3"/>
        <v>169830</v>
      </c>
    </row>
    <row r="86" spans="1:7" outlineLevel="3" x14ac:dyDescent="0.2">
      <c r="A86" s="31" t="s">
        <v>49</v>
      </c>
      <c r="B86" s="31">
        <v>1984</v>
      </c>
      <c r="C86" s="31" t="s">
        <v>58</v>
      </c>
      <c r="D86" s="31" t="s">
        <v>54</v>
      </c>
      <c r="E86" s="31" t="s">
        <v>77</v>
      </c>
      <c r="F86" s="32">
        <v>7060</v>
      </c>
      <c r="G86" s="33">
        <f t="shared" si="3"/>
        <v>180030</v>
      </c>
    </row>
    <row r="87" spans="1:7" outlineLevel="3" x14ac:dyDescent="0.2">
      <c r="A87" s="31" t="s">
        <v>49</v>
      </c>
      <c r="B87" s="31">
        <v>1984</v>
      </c>
      <c r="C87" s="31" t="s">
        <v>58</v>
      </c>
      <c r="D87" s="31" t="s">
        <v>54</v>
      </c>
      <c r="E87" s="31" t="s">
        <v>75</v>
      </c>
      <c r="F87" s="32">
        <v>7060</v>
      </c>
      <c r="G87" s="33">
        <f t="shared" si="3"/>
        <v>180030</v>
      </c>
    </row>
    <row r="88" spans="1:7" outlineLevel="3" x14ac:dyDescent="0.2">
      <c r="A88" s="31" t="s">
        <v>49</v>
      </c>
      <c r="B88" s="31">
        <v>1982</v>
      </c>
      <c r="C88" s="31" t="s">
        <v>51</v>
      </c>
      <c r="D88" s="31" t="s">
        <v>54</v>
      </c>
      <c r="E88" s="31" t="s">
        <v>73</v>
      </c>
      <c r="F88" s="32">
        <v>11060</v>
      </c>
      <c r="G88" s="33">
        <f t="shared" si="3"/>
        <v>282030</v>
      </c>
    </row>
    <row r="89" spans="1:7" outlineLevel="3" x14ac:dyDescent="0.2">
      <c r="A89" s="31" t="s">
        <v>49</v>
      </c>
      <c r="B89" s="31">
        <v>1981</v>
      </c>
      <c r="C89" s="31" t="s">
        <v>58</v>
      </c>
      <c r="D89" s="31" t="s">
        <v>54</v>
      </c>
      <c r="E89" s="31" t="s">
        <v>77</v>
      </c>
      <c r="F89" s="32">
        <v>11460</v>
      </c>
      <c r="G89" s="33">
        <f t="shared" si="3"/>
        <v>292230</v>
      </c>
    </row>
    <row r="90" spans="1:7" outlineLevel="3" x14ac:dyDescent="0.2">
      <c r="A90" s="31" t="s">
        <v>49</v>
      </c>
      <c r="B90" s="31">
        <v>1980</v>
      </c>
      <c r="C90" s="31" t="s">
        <v>58</v>
      </c>
      <c r="D90" s="31" t="s">
        <v>54</v>
      </c>
      <c r="E90" s="31" t="s">
        <v>73</v>
      </c>
      <c r="F90" s="32">
        <v>11860</v>
      </c>
      <c r="G90" s="33">
        <f t="shared" si="3"/>
        <v>302430</v>
      </c>
    </row>
    <row r="91" spans="1:7" outlineLevel="2" x14ac:dyDescent="0.2">
      <c r="A91" s="31"/>
      <c r="B91" s="31"/>
      <c r="C91" s="31"/>
      <c r="D91" s="39" t="s">
        <v>116</v>
      </c>
      <c r="E91" s="31"/>
      <c r="F91" s="32">
        <f>SUBTOTAL(1,F75:F90)</f>
        <v>6172.5</v>
      </c>
      <c r="G91" s="33"/>
    </row>
    <row r="92" spans="1:7" outlineLevel="3" x14ac:dyDescent="0.2">
      <c r="A92" s="31" t="s">
        <v>49</v>
      </c>
      <c r="B92" s="31">
        <v>1995</v>
      </c>
      <c r="C92" s="31" t="s">
        <v>53</v>
      </c>
      <c r="D92" s="31" t="s">
        <v>56</v>
      </c>
      <c r="E92" s="31" t="s">
        <v>75</v>
      </c>
      <c r="F92" s="32">
        <v>3460</v>
      </c>
      <c r="G92" s="33">
        <f>F92*25.5</f>
        <v>88230</v>
      </c>
    </row>
    <row r="93" spans="1:7" outlineLevel="3" x14ac:dyDescent="0.2">
      <c r="A93" s="31" t="s">
        <v>49</v>
      </c>
      <c r="B93" s="31">
        <v>1995</v>
      </c>
      <c r="C93" s="31" t="s">
        <v>51</v>
      </c>
      <c r="D93" s="31" t="s">
        <v>56</v>
      </c>
      <c r="E93" s="31" t="s">
        <v>73</v>
      </c>
      <c r="F93" s="32">
        <v>5460</v>
      </c>
      <c r="G93" s="33">
        <f>F93*25.5</f>
        <v>139230</v>
      </c>
    </row>
    <row r="94" spans="1:7" outlineLevel="3" x14ac:dyDescent="0.2">
      <c r="A94" s="31" t="s">
        <v>49</v>
      </c>
      <c r="B94" s="31">
        <v>1985</v>
      </c>
      <c r="C94" s="31" t="s">
        <v>76</v>
      </c>
      <c r="D94" s="31" t="s">
        <v>56</v>
      </c>
      <c r="E94" s="31" t="s">
        <v>77</v>
      </c>
      <c r="F94" s="32">
        <v>6660</v>
      </c>
      <c r="G94" s="33">
        <f>F94*25.5</f>
        <v>169830</v>
      </c>
    </row>
    <row r="95" spans="1:7" outlineLevel="2" x14ac:dyDescent="0.2">
      <c r="A95" s="31"/>
      <c r="B95" s="31"/>
      <c r="C95" s="31"/>
      <c r="D95" s="39" t="s">
        <v>117</v>
      </c>
      <c r="E95" s="31"/>
      <c r="F95" s="32">
        <f>SUBTOTAL(1,F92:F94)</f>
        <v>5193.333333333333</v>
      </c>
      <c r="G95" s="33"/>
    </row>
    <row r="96" spans="1:7" outlineLevel="3" x14ac:dyDescent="0.2">
      <c r="A96" s="31" t="s">
        <v>49</v>
      </c>
      <c r="B96" s="31">
        <v>1995</v>
      </c>
      <c r="C96" s="31" t="s">
        <v>53</v>
      </c>
      <c r="D96" s="31" t="s">
        <v>50</v>
      </c>
      <c r="E96" s="31" t="s">
        <v>73</v>
      </c>
      <c r="F96" s="32">
        <v>2660</v>
      </c>
      <c r="G96" s="33">
        <f t="shared" ref="G96:G101" si="4">F96*25.5</f>
        <v>67830</v>
      </c>
    </row>
    <row r="97" spans="1:7" outlineLevel="3" x14ac:dyDescent="0.2">
      <c r="A97" s="31" t="s">
        <v>49</v>
      </c>
      <c r="B97" s="31">
        <v>1993</v>
      </c>
      <c r="C97" s="31" t="s">
        <v>53</v>
      </c>
      <c r="D97" s="31" t="s">
        <v>50</v>
      </c>
      <c r="E97" s="31" t="s">
        <v>75</v>
      </c>
      <c r="F97" s="32">
        <v>3460</v>
      </c>
      <c r="G97" s="33">
        <f t="shared" si="4"/>
        <v>88230</v>
      </c>
    </row>
    <row r="98" spans="1:7" outlineLevel="3" x14ac:dyDescent="0.2">
      <c r="A98" s="31" t="s">
        <v>49</v>
      </c>
      <c r="B98" s="31">
        <v>1988</v>
      </c>
      <c r="C98" s="31" t="s">
        <v>58</v>
      </c>
      <c r="D98" s="31" t="s">
        <v>50</v>
      </c>
      <c r="E98" s="31" t="s">
        <v>73</v>
      </c>
      <c r="F98" s="32">
        <v>5460</v>
      </c>
      <c r="G98" s="33">
        <f t="shared" si="4"/>
        <v>139230</v>
      </c>
    </row>
    <row r="99" spans="1:7" outlineLevel="3" x14ac:dyDescent="0.2">
      <c r="A99" s="31" t="s">
        <v>49</v>
      </c>
      <c r="B99" s="31">
        <v>1986</v>
      </c>
      <c r="C99" s="31" t="s">
        <v>76</v>
      </c>
      <c r="D99" s="31" t="s">
        <v>50</v>
      </c>
      <c r="E99" s="31" t="s">
        <v>75</v>
      </c>
      <c r="F99" s="32">
        <v>6260</v>
      </c>
      <c r="G99" s="33">
        <f t="shared" si="4"/>
        <v>159630</v>
      </c>
    </row>
    <row r="100" spans="1:7" outlineLevel="3" x14ac:dyDescent="0.2">
      <c r="A100" s="31" t="s">
        <v>49</v>
      </c>
      <c r="B100" s="31">
        <v>1983</v>
      </c>
      <c r="C100" s="31" t="s">
        <v>53</v>
      </c>
      <c r="D100" s="31" t="s">
        <v>50</v>
      </c>
      <c r="E100" s="31" t="s">
        <v>75</v>
      </c>
      <c r="F100" s="32">
        <v>10660</v>
      </c>
      <c r="G100" s="33">
        <f t="shared" si="4"/>
        <v>271830</v>
      </c>
    </row>
    <row r="101" spans="1:7" outlineLevel="3" x14ac:dyDescent="0.2">
      <c r="A101" s="31" t="s">
        <v>49</v>
      </c>
      <c r="B101" s="31">
        <v>1991</v>
      </c>
      <c r="C101" s="31" t="s">
        <v>53</v>
      </c>
      <c r="D101" s="31" t="s">
        <v>50</v>
      </c>
      <c r="E101" s="31" t="s">
        <v>73</v>
      </c>
      <c r="F101" s="32">
        <v>11060</v>
      </c>
      <c r="G101" s="33">
        <f t="shared" si="4"/>
        <v>282030</v>
      </c>
    </row>
    <row r="102" spans="1:7" outlineLevel="2" x14ac:dyDescent="0.2">
      <c r="A102" s="31"/>
      <c r="B102" s="31"/>
      <c r="C102" s="31"/>
      <c r="D102" s="39" t="s">
        <v>118</v>
      </c>
      <c r="E102" s="31"/>
      <c r="F102" s="32">
        <f>SUBTOTAL(1,F96:F101)</f>
        <v>6593.333333333333</v>
      </c>
      <c r="G102" s="33"/>
    </row>
    <row r="103" spans="1:7" outlineLevel="1" x14ac:dyDescent="0.2">
      <c r="A103" s="39" t="s">
        <v>106</v>
      </c>
      <c r="B103" s="31"/>
      <c r="C103" s="31"/>
      <c r="D103" s="31"/>
      <c r="E103" s="31"/>
      <c r="F103" s="32">
        <f>SUBTOTAL(1,F71:F101)</f>
        <v>6252.8571428571431</v>
      </c>
      <c r="G103" s="33"/>
    </row>
    <row r="104" spans="1:7" outlineLevel="3" x14ac:dyDescent="0.2">
      <c r="A104" s="31" t="s">
        <v>59</v>
      </c>
      <c r="B104" s="31">
        <v>1995</v>
      </c>
      <c r="C104" s="31" t="s">
        <v>51</v>
      </c>
      <c r="D104" s="31" t="s">
        <v>52</v>
      </c>
      <c r="E104" s="31" t="s">
        <v>73</v>
      </c>
      <c r="F104" s="32">
        <v>2560</v>
      </c>
      <c r="G104" s="33">
        <f t="shared" ref="G104:G121" si="5">F104*25.5</f>
        <v>65280</v>
      </c>
    </row>
    <row r="105" spans="1:7" outlineLevel="3" x14ac:dyDescent="0.2">
      <c r="A105" s="31" t="s">
        <v>59</v>
      </c>
      <c r="B105" s="31">
        <v>1994</v>
      </c>
      <c r="C105" s="31" t="s">
        <v>76</v>
      </c>
      <c r="D105" s="31" t="s">
        <v>52</v>
      </c>
      <c r="E105" s="31" t="s">
        <v>77</v>
      </c>
      <c r="F105" s="32">
        <v>2960</v>
      </c>
      <c r="G105" s="33">
        <f t="shared" si="5"/>
        <v>75480</v>
      </c>
    </row>
    <row r="106" spans="1:7" outlineLevel="3" x14ac:dyDescent="0.2">
      <c r="A106" s="31" t="s">
        <v>59</v>
      </c>
      <c r="B106" s="31">
        <v>1995</v>
      </c>
      <c r="C106" s="31" t="s">
        <v>58</v>
      </c>
      <c r="D106" s="31" t="s">
        <v>52</v>
      </c>
      <c r="E106" s="31" t="s">
        <v>73</v>
      </c>
      <c r="F106" s="32">
        <v>3760</v>
      </c>
      <c r="G106" s="33">
        <f t="shared" si="5"/>
        <v>95880</v>
      </c>
    </row>
    <row r="107" spans="1:7" outlineLevel="3" x14ac:dyDescent="0.2">
      <c r="A107" s="31" t="s">
        <v>59</v>
      </c>
      <c r="B107" s="31">
        <v>1992</v>
      </c>
      <c r="C107" s="31" t="s">
        <v>58</v>
      </c>
      <c r="D107" s="31" t="s">
        <v>52</v>
      </c>
      <c r="E107" s="31" t="s">
        <v>77</v>
      </c>
      <c r="F107" s="32">
        <v>3760</v>
      </c>
      <c r="G107" s="33">
        <f t="shared" si="5"/>
        <v>95880</v>
      </c>
    </row>
    <row r="108" spans="1:7" outlineLevel="3" x14ac:dyDescent="0.2">
      <c r="A108" s="31" t="s">
        <v>59</v>
      </c>
      <c r="B108" s="31">
        <v>1990</v>
      </c>
      <c r="C108" s="31" t="s">
        <v>51</v>
      </c>
      <c r="D108" s="31" t="s">
        <v>52</v>
      </c>
      <c r="E108" s="31" t="s">
        <v>77</v>
      </c>
      <c r="F108" s="32">
        <v>4160</v>
      </c>
      <c r="G108" s="33">
        <f t="shared" si="5"/>
        <v>106080</v>
      </c>
    </row>
    <row r="109" spans="1:7" outlineLevel="3" x14ac:dyDescent="0.2">
      <c r="A109" s="31" t="s">
        <v>59</v>
      </c>
      <c r="B109" s="31">
        <v>1991</v>
      </c>
      <c r="C109" s="31" t="s">
        <v>51</v>
      </c>
      <c r="D109" s="31" t="s">
        <v>52</v>
      </c>
      <c r="E109" s="31" t="s">
        <v>77</v>
      </c>
      <c r="F109" s="32">
        <v>4160</v>
      </c>
      <c r="G109" s="33">
        <f t="shared" si="5"/>
        <v>106080</v>
      </c>
    </row>
    <row r="110" spans="1:7" outlineLevel="3" x14ac:dyDescent="0.2">
      <c r="A110" s="31" t="s">
        <v>59</v>
      </c>
      <c r="B110" s="31">
        <v>1990</v>
      </c>
      <c r="C110" s="31" t="s">
        <v>76</v>
      </c>
      <c r="D110" s="31" t="s">
        <v>52</v>
      </c>
      <c r="E110" s="31" t="s">
        <v>77</v>
      </c>
      <c r="F110" s="32">
        <v>4560</v>
      </c>
      <c r="G110" s="33">
        <f t="shared" si="5"/>
        <v>116280</v>
      </c>
    </row>
    <row r="111" spans="1:7" outlineLevel="3" x14ac:dyDescent="0.2">
      <c r="A111" s="31" t="s">
        <v>59</v>
      </c>
      <c r="B111" s="31">
        <v>1990</v>
      </c>
      <c r="C111" s="31" t="s">
        <v>76</v>
      </c>
      <c r="D111" s="31" t="s">
        <v>52</v>
      </c>
      <c r="E111" s="31" t="s">
        <v>74</v>
      </c>
      <c r="F111" s="32">
        <v>4560</v>
      </c>
      <c r="G111" s="33">
        <f t="shared" si="5"/>
        <v>116280</v>
      </c>
    </row>
    <row r="112" spans="1:7" outlineLevel="3" x14ac:dyDescent="0.2">
      <c r="A112" s="31" t="s">
        <v>59</v>
      </c>
      <c r="B112" s="31">
        <v>1989</v>
      </c>
      <c r="C112" s="31" t="s">
        <v>76</v>
      </c>
      <c r="D112" s="31" t="s">
        <v>52</v>
      </c>
      <c r="E112" s="31" t="s">
        <v>77</v>
      </c>
      <c r="F112" s="32">
        <v>4960</v>
      </c>
      <c r="G112" s="33">
        <f t="shared" si="5"/>
        <v>126480</v>
      </c>
    </row>
    <row r="113" spans="1:7" outlineLevel="3" x14ac:dyDescent="0.2">
      <c r="A113" s="31" t="s">
        <v>59</v>
      </c>
      <c r="B113" s="31">
        <v>1989</v>
      </c>
      <c r="C113" s="31" t="s">
        <v>76</v>
      </c>
      <c r="D113" s="31" t="s">
        <v>52</v>
      </c>
      <c r="E113" s="31" t="s">
        <v>74</v>
      </c>
      <c r="F113" s="32">
        <v>4960</v>
      </c>
      <c r="G113" s="33">
        <f t="shared" si="5"/>
        <v>126480</v>
      </c>
    </row>
    <row r="114" spans="1:7" outlineLevel="3" x14ac:dyDescent="0.2">
      <c r="A114" s="31" t="s">
        <v>59</v>
      </c>
      <c r="B114" s="31">
        <v>1988</v>
      </c>
      <c r="C114" s="31" t="s">
        <v>58</v>
      </c>
      <c r="D114" s="31" t="s">
        <v>52</v>
      </c>
      <c r="E114" s="31" t="s">
        <v>77</v>
      </c>
      <c r="F114" s="32">
        <v>5360</v>
      </c>
      <c r="G114" s="33">
        <f t="shared" si="5"/>
        <v>136680</v>
      </c>
    </row>
    <row r="115" spans="1:7" outlineLevel="3" x14ac:dyDescent="0.2">
      <c r="A115" s="31" t="s">
        <v>59</v>
      </c>
      <c r="B115" s="31">
        <v>1987</v>
      </c>
      <c r="C115" s="31" t="s">
        <v>51</v>
      </c>
      <c r="D115" s="31" t="s">
        <v>52</v>
      </c>
      <c r="E115" s="31" t="s">
        <v>77</v>
      </c>
      <c r="F115" s="32">
        <v>5760</v>
      </c>
      <c r="G115" s="33">
        <f t="shared" si="5"/>
        <v>146880</v>
      </c>
    </row>
    <row r="116" spans="1:7" outlineLevel="3" x14ac:dyDescent="0.2">
      <c r="A116" s="31" t="s">
        <v>59</v>
      </c>
      <c r="B116" s="31">
        <v>1986</v>
      </c>
      <c r="C116" s="31" t="s">
        <v>53</v>
      </c>
      <c r="D116" s="31" t="s">
        <v>52</v>
      </c>
      <c r="E116" s="31" t="s">
        <v>73</v>
      </c>
      <c r="F116" s="32">
        <v>6160</v>
      </c>
      <c r="G116" s="33">
        <f t="shared" si="5"/>
        <v>157080</v>
      </c>
    </row>
    <row r="117" spans="1:7" outlineLevel="3" x14ac:dyDescent="0.2">
      <c r="A117" s="31" t="s">
        <v>59</v>
      </c>
      <c r="B117" s="31">
        <v>1985</v>
      </c>
      <c r="C117" s="31" t="s">
        <v>58</v>
      </c>
      <c r="D117" s="31" t="s">
        <v>52</v>
      </c>
      <c r="E117" s="31" t="s">
        <v>77</v>
      </c>
      <c r="F117" s="32">
        <v>6560</v>
      </c>
      <c r="G117" s="33">
        <f t="shared" si="5"/>
        <v>167280</v>
      </c>
    </row>
    <row r="118" spans="1:7" outlineLevel="3" x14ac:dyDescent="0.2">
      <c r="A118" s="31" t="s">
        <v>59</v>
      </c>
      <c r="B118" s="31">
        <v>1984</v>
      </c>
      <c r="C118" s="31" t="s">
        <v>51</v>
      </c>
      <c r="D118" s="31" t="s">
        <v>52</v>
      </c>
      <c r="E118" s="31" t="s">
        <v>75</v>
      </c>
      <c r="F118" s="32">
        <v>6960</v>
      </c>
      <c r="G118" s="33">
        <f t="shared" si="5"/>
        <v>177480</v>
      </c>
    </row>
    <row r="119" spans="1:7" outlineLevel="3" x14ac:dyDescent="0.2">
      <c r="A119" s="31" t="s">
        <v>59</v>
      </c>
      <c r="B119" s="31">
        <v>1982</v>
      </c>
      <c r="C119" s="31" t="s">
        <v>76</v>
      </c>
      <c r="D119" s="31" t="s">
        <v>52</v>
      </c>
      <c r="E119" s="31" t="s">
        <v>75</v>
      </c>
      <c r="F119" s="32">
        <v>10960</v>
      </c>
      <c r="G119" s="33">
        <f t="shared" si="5"/>
        <v>279480</v>
      </c>
    </row>
    <row r="120" spans="1:7" outlineLevel="3" x14ac:dyDescent="0.2">
      <c r="A120" s="31" t="s">
        <v>59</v>
      </c>
      <c r="B120" s="31">
        <v>1981</v>
      </c>
      <c r="C120" s="31" t="s">
        <v>53</v>
      </c>
      <c r="D120" s="31" t="s">
        <v>52</v>
      </c>
      <c r="E120" s="31" t="s">
        <v>75</v>
      </c>
      <c r="F120" s="32">
        <v>11360</v>
      </c>
      <c r="G120" s="33">
        <f t="shared" si="5"/>
        <v>289680</v>
      </c>
    </row>
    <row r="121" spans="1:7" outlineLevel="3" x14ac:dyDescent="0.2">
      <c r="A121" s="31" t="s">
        <v>59</v>
      </c>
      <c r="B121" s="31">
        <v>1980</v>
      </c>
      <c r="C121" s="31" t="s">
        <v>51</v>
      </c>
      <c r="D121" s="31" t="s">
        <v>52</v>
      </c>
      <c r="E121" s="31" t="s">
        <v>73</v>
      </c>
      <c r="F121" s="32">
        <v>11760</v>
      </c>
      <c r="G121" s="33">
        <f t="shared" si="5"/>
        <v>299880</v>
      </c>
    </row>
    <row r="122" spans="1:7" outlineLevel="2" x14ac:dyDescent="0.2">
      <c r="A122" s="31"/>
      <c r="B122" s="31"/>
      <c r="C122" s="31"/>
      <c r="D122" s="39" t="s">
        <v>115</v>
      </c>
      <c r="E122" s="31"/>
      <c r="F122" s="32">
        <f>SUBTOTAL(1,F104:F121)</f>
        <v>5848.8888888888887</v>
      </c>
      <c r="G122" s="33"/>
    </row>
    <row r="123" spans="1:7" outlineLevel="3" x14ac:dyDescent="0.2">
      <c r="A123" s="31" t="s">
        <v>59</v>
      </c>
      <c r="B123" s="31">
        <v>1985</v>
      </c>
      <c r="C123" s="31" t="s">
        <v>53</v>
      </c>
      <c r="D123" s="31" t="s">
        <v>54</v>
      </c>
      <c r="E123" s="31" t="s">
        <v>73</v>
      </c>
      <c r="F123" s="32">
        <v>6160</v>
      </c>
      <c r="G123" s="33">
        <f>F123*25.5</f>
        <v>157080</v>
      </c>
    </row>
    <row r="124" spans="1:7" outlineLevel="3" x14ac:dyDescent="0.2">
      <c r="A124" s="31" t="s">
        <v>59</v>
      </c>
      <c r="B124" s="31">
        <v>1984</v>
      </c>
      <c r="C124" s="31" t="s">
        <v>58</v>
      </c>
      <c r="D124" s="31" t="s">
        <v>54</v>
      </c>
      <c r="E124" s="31" t="s">
        <v>77</v>
      </c>
      <c r="F124" s="32">
        <v>6560</v>
      </c>
      <c r="G124" s="33">
        <f>F124*25.5</f>
        <v>167280</v>
      </c>
    </row>
    <row r="125" spans="1:7" outlineLevel="3" x14ac:dyDescent="0.2">
      <c r="A125" s="31" t="s">
        <v>59</v>
      </c>
      <c r="B125" s="31">
        <v>1983</v>
      </c>
      <c r="C125" s="31" t="s">
        <v>51</v>
      </c>
      <c r="D125" s="31" t="s">
        <v>54</v>
      </c>
      <c r="E125" s="31" t="s">
        <v>75</v>
      </c>
      <c r="F125" s="32">
        <v>10560</v>
      </c>
      <c r="G125" s="33">
        <f>F125*25.5</f>
        <v>269280</v>
      </c>
    </row>
    <row r="126" spans="1:7" outlineLevel="2" x14ac:dyDescent="0.2">
      <c r="A126" s="31"/>
      <c r="B126" s="31"/>
      <c r="C126" s="31"/>
      <c r="D126" s="39" t="s">
        <v>116</v>
      </c>
      <c r="E126" s="31"/>
      <c r="F126" s="32">
        <f>SUBTOTAL(1,F123:F125)</f>
        <v>7760</v>
      </c>
      <c r="G126" s="33"/>
    </row>
    <row r="127" spans="1:7" outlineLevel="3" x14ac:dyDescent="0.2">
      <c r="A127" s="31" t="s">
        <v>59</v>
      </c>
      <c r="B127" s="31">
        <v>1995</v>
      </c>
      <c r="C127" s="31" t="s">
        <v>76</v>
      </c>
      <c r="D127" s="31" t="s">
        <v>56</v>
      </c>
      <c r="E127" s="31" t="s">
        <v>75</v>
      </c>
      <c r="F127" s="32">
        <v>2960</v>
      </c>
      <c r="G127" s="33">
        <f>F127*25.5</f>
        <v>75480</v>
      </c>
    </row>
    <row r="128" spans="1:7" outlineLevel="3" x14ac:dyDescent="0.2">
      <c r="A128" s="31" t="s">
        <v>59</v>
      </c>
      <c r="B128" s="31">
        <v>1993</v>
      </c>
      <c r="C128" s="31" t="s">
        <v>76</v>
      </c>
      <c r="D128" s="31" t="s">
        <v>56</v>
      </c>
      <c r="E128" s="31" t="s">
        <v>73</v>
      </c>
      <c r="F128" s="32">
        <v>3360</v>
      </c>
      <c r="G128" s="33">
        <f>F128*25.5</f>
        <v>85680</v>
      </c>
    </row>
    <row r="129" spans="1:7" outlineLevel="3" x14ac:dyDescent="0.2">
      <c r="A129" s="31" t="s">
        <v>59</v>
      </c>
      <c r="B129" s="31">
        <v>1995</v>
      </c>
      <c r="C129" s="31" t="s">
        <v>76</v>
      </c>
      <c r="D129" s="31" t="s">
        <v>56</v>
      </c>
      <c r="E129" s="31" t="s">
        <v>75</v>
      </c>
      <c r="F129" s="32">
        <v>3360</v>
      </c>
      <c r="G129" s="33">
        <f>F129*25.5</f>
        <v>85680</v>
      </c>
    </row>
    <row r="130" spans="1:7" outlineLevel="2" x14ac:dyDescent="0.2">
      <c r="A130" s="31"/>
      <c r="B130" s="31"/>
      <c r="C130" s="31"/>
      <c r="D130" s="39" t="s">
        <v>117</v>
      </c>
      <c r="E130" s="31"/>
      <c r="F130" s="32">
        <f>SUBTOTAL(1,F127:F129)</f>
        <v>3226.6666666666665</v>
      </c>
      <c r="G130" s="33"/>
    </row>
    <row r="131" spans="1:7" outlineLevel="3" x14ac:dyDescent="0.2">
      <c r="A131" s="31" t="s">
        <v>59</v>
      </c>
      <c r="B131" s="31">
        <v>1995</v>
      </c>
      <c r="C131" s="31" t="s">
        <v>51</v>
      </c>
      <c r="D131" s="31" t="s">
        <v>50</v>
      </c>
      <c r="E131" s="31" t="s">
        <v>74</v>
      </c>
      <c r="F131" s="32">
        <v>2560</v>
      </c>
      <c r="G131" s="33">
        <f>F131*25.5</f>
        <v>65280</v>
      </c>
    </row>
    <row r="132" spans="1:7" outlineLevel="3" x14ac:dyDescent="0.2">
      <c r="A132" s="31" t="s">
        <v>59</v>
      </c>
      <c r="B132" s="31">
        <v>1991</v>
      </c>
      <c r="C132" s="31" t="s">
        <v>51</v>
      </c>
      <c r="D132" s="31" t="s">
        <v>50</v>
      </c>
      <c r="E132" s="31" t="s">
        <v>77</v>
      </c>
      <c r="F132" s="32">
        <v>4160</v>
      </c>
      <c r="G132" s="33">
        <f>F132*25.5</f>
        <v>106080</v>
      </c>
    </row>
    <row r="133" spans="1:7" outlineLevel="2" x14ac:dyDescent="0.2">
      <c r="A133" s="31"/>
      <c r="B133" s="31"/>
      <c r="C133" s="31"/>
      <c r="D133" s="39" t="s">
        <v>118</v>
      </c>
      <c r="E133" s="31"/>
      <c r="F133" s="32">
        <f>SUBTOTAL(1,F131:F132)</f>
        <v>3360</v>
      </c>
      <c r="G133" s="33"/>
    </row>
    <row r="134" spans="1:7" outlineLevel="1" x14ac:dyDescent="0.2">
      <c r="A134" s="39" t="s">
        <v>107</v>
      </c>
      <c r="B134" s="31"/>
      <c r="C134" s="31"/>
      <c r="D134" s="31"/>
      <c r="E134" s="31"/>
      <c r="F134" s="32">
        <f>SUBTOTAL(1,F104:F132)</f>
        <v>5575.3846153846152</v>
      </c>
      <c r="G134" s="33"/>
    </row>
    <row r="135" spans="1:7" x14ac:dyDescent="0.2">
      <c r="A135" s="39" t="s">
        <v>108</v>
      </c>
      <c r="B135" s="31"/>
      <c r="C135" s="31"/>
      <c r="D135" s="31"/>
      <c r="E135" s="31"/>
      <c r="F135" s="32">
        <f>SUBTOTAL(1,F7:F132)</f>
        <v>5997.0370370370374</v>
      </c>
      <c r="G135" s="33"/>
    </row>
  </sheetData>
  <sortState xmlns:xlrd2="http://schemas.microsoft.com/office/spreadsheetml/2017/richdata2" ref="A7:G132">
    <sortCondition ref="A7:A132"/>
    <sortCondition ref="D7:D132"/>
  </sortState>
  <phoneticPr fontId="0" type="noConversion"/>
  <pageMargins left="0.7" right="0.7" top="0.78740157499999996" bottom="0.78740157499999996" header="0.3" footer="0.3"/>
  <pageSetup paperSize="9" orientation="portrait" r:id="rId1"/>
  <rowBreaks count="19" manualBreakCount="19">
    <brk id="11" max="16383" man="1"/>
    <brk id="17" max="16383" man="1"/>
    <brk id="30" max="16383" man="1"/>
    <brk id="36" max="16383" man="1"/>
    <brk id="37" max="16383" man="1"/>
    <brk id="40" max="16383" man="1"/>
    <brk id="49" max="16383" man="1"/>
    <brk id="54" max="16383" man="1"/>
    <brk id="69" max="16383" man="1"/>
    <brk id="70" max="16383" man="1"/>
    <brk id="74" max="16383" man="1"/>
    <brk id="91" max="16383" man="1"/>
    <brk id="95" max="16383" man="1"/>
    <brk id="102" max="16383" man="1"/>
    <brk id="103" max="16383" man="1"/>
    <brk id="122" max="16383" man="1"/>
    <brk id="126" max="16383" man="1"/>
    <brk id="130" max="16383" man="1"/>
    <brk id="135" max="16383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4"/>
  <sheetViews>
    <sheetView topLeftCell="A3" workbookViewId="0">
      <selection activeCell="J10" sqref="J10"/>
    </sheetView>
  </sheetViews>
  <sheetFormatPr defaultRowHeight="12.75" outlineLevelRow="3" x14ac:dyDescent="0.2"/>
  <cols>
    <col min="1" max="1" width="14.42578125" bestFit="1" customWidth="1"/>
    <col min="7" max="7" width="17.42578125" customWidth="1"/>
  </cols>
  <sheetData>
    <row r="1" spans="1:7" ht="18" x14ac:dyDescent="0.2">
      <c r="A1" s="16" t="s">
        <v>20</v>
      </c>
    </row>
    <row r="5" spans="1:7" ht="13.5" thickBot="1" x14ac:dyDescent="0.25"/>
    <row r="6" spans="1:7" ht="16.5" thickTop="1" thickBot="1" x14ac:dyDescent="0.3">
      <c r="A6" s="34" t="s">
        <v>17</v>
      </c>
      <c r="B6" s="34" t="s">
        <v>69</v>
      </c>
      <c r="C6" s="34" t="s">
        <v>45</v>
      </c>
      <c r="D6" s="34" t="s">
        <v>44</v>
      </c>
      <c r="E6" s="34" t="s">
        <v>70</v>
      </c>
      <c r="F6" s="34" t="s">
        <v>71</v>
      </c>
      <c r="G6" s="34" t="s">
        <v>72</v>
      </c>
    </row>
    <row r="7" spans="1:7" ht="13.5" outlineLevel="3" thickTop="1" x14ac:dyDescent="0.2">
      <c r="A7" s="31" t="s">
        <v>64</v>
      </c>
      <c r="B7" s="31">
        <v>1980</v>
      </c>
      <c r="C7" s="31" t="s">
        <v>53</v>
      </c>
      <c r="D7" s="31" t="s">
        <v>50</v>
      </c>
      <c r="E7" s="31" t="s">
        <v>75</v>
      </c>
      <c r="F7" s="32">
        <v>12060</v>
      </c>
      <c r="G7" s="33">
        <f>F7*25.5</f>
        <v>307530</v>
      </c>
    </row>
    <row r="8" spans="1:7" outlineLevel="2" x14ac:dyDescent="0.2">
      <c r="A8" s="31"/>
      <c r="B8" s="40" t="s">
        <v>123</v>
      </c>
      <c r="C8" s="31"/>
      <c r="D8" s="31"/>
      <c r="E8" s="31"/>
      <c r="F8" s="32">
        <f>SUBTOTAL(1,F7:F7)</f>
        <v>12060</v>
      </c>
      <c r="G8" s="33"/>
    </row>
    <row r="9" spans="1:7" outlineLevel="3" x14ac:dyDescent="0.2">
      <c r="A9" s="31" t="s">
        <v>64</v>
      </c>
      <c r="B9" s="31">
        <v>1981</v>
      </c>
      <c r="C9" s="31" t="s">
        <v>58</v>
      </c>
      <c r="D9" s="31" t="s">
        <v>56</v>
      </c>
      <c r="E9" s="31" t="s">
        <v>73</v>
      </c>
      <c r="F9" s="32">
        <v>11660</v>
      </c>
      <c r="G9" s="33">
        <f>F9*25.5</f>
        <v>297330</v>
      </c>
    </row>
    <row r="10" spans="1:7" outlineLevel="2" x14ac:dyDescent="0.2">
      <c r="A10" s="31"/>
      <c r="B10" s="40" t="s">
        <v>124</v>
      </c>
      <c r="C10" s="31"/>
      <c r="D10" s="31"/>
      <c r="E10" s="31"/>
      <c r="F10" s="32">
        <f>SUBTOTAL(1,F9:F9)</f>
        <v>11660</v>
      </c>
      <c r="G10" s="33"/>
    </row>
    <row r="11" spans="1:7" outlineLevel="3" x14ac:dyDescent="0.2">
      <c r="A11" s="31" t="s">
        <v>64</v>
      </c>
      <c r="B11" s="31">
        <v>1982</v>
      </c>
      <c r="C11" s="31" t="s">
        <v>76</v>
      </c>
      <c r="D11" s="31" t="s">
        <v>56</v>
      </c>
      <c r="E11" s="31" t="s">
        <v>73</v>
      </c>
      <c r="F11" s="32">
        <v>11260</v>
      </c>
      <c r="G11" s="33">
        <f>F11*25.5</f>
        <v>287130</v>
      </c>
    </row>
    <row r="12" spans="1:7" outlineLevel="2" x14ac:dyDescent="0.2">
      <c r="A12" s="31"/>
      <c r="B12" s="40" t="s">
        <v>125</v>
      </c>
      <c r="C12" s="31"/>
      <c r="D12" s="31"/>
      <c r="E12" s="31"/>
      <c r="F12" s="32">
        <f>SUBTOTAL(1,F11:F11)</f>
        <v>11260</v>
      </c>
      <c r="G12" s="33"/>
    </row>
    <row r="13" spans="1:7" outlineLevel="3" x14ac:dyDescent="0.2">
      <c r="A13" s="31" t="s">
        <v>64</v>
      </c>
      <c r="B13" s="31">
        <v>1983</v>
      </c>
      <c r="C13" s="31" t="s">
        <v>58</v>
      </c>
      <c r="D13" s="31" t="s">
        <v>56</v>
      </c>
      <c r="E13" s="31" t="s">
        <v>75</v>
      </c>
      <c r="F13" s="32">
        <v>10860</v>
      </c>
      <c r="G13" s="33">
        <f>F13*25.5</f>
        <v>276930</v>
      </c>
    </row>
    <row r="14" spans="1:7" outlineLevel="2" x14ac:dyDescent="0.2">
      <c r="A14" s="31"/>
      <c r="B14" s="40" t="s">
        <v>126</v>
      </c>
      <c r="C14" s="31"/>
      <c r="D14" s="31"/>
      <c r="E14" s="31"/>
      <c r="F14" s="32">
        <f>SUBTOTAL(1,F13:F13)</f>
        <v>10860</v>
      </c>
      <c r="G14" s="33"/>
    </row>
    <row r="15" spans="1:7" outlineLevel="3" x14ac:dyDescent="0.2">
      <c r="A15" s="31" t="s">
        <v>64</v>
      </c>
      <c r="B15" s="31">
        <v>1984</v>
      </c>
      <c r="C15" s="31" t="s">
        <v>58</v>
      </c>
      <c r="D15" s="31" t="s">
        <v>54</v>
      </c>
      <c r="E15" s="31" t="s">
        <v>73</v>
      </c>
      <c r="F15" s="32">
        <v>3360</v>
      </c>
      <c r="G15" s="33">
        <f>F15*25.5</f>
        <v>85680</v>
      </c>
    </row>
    <row r="16" spans="1:7" outlineLevel="3" x14ac:dyDescent="0.2">
      <c r="A16" s="31" t="s">
        <v>64</v>
      </c>
      <c r="B16" s="31">
        <v>1984</v>
      </c>
      <c r="C16" s="31" t="s">
        <v>53</v>
      </c>
      <c r="D16" s="31" t="s">
        <v>54</v>
      </c>
      <c r="E16" s="31" t="s">
        <v>74</v>
      </c>
      <c r="F16" s="32">
        <v>7960</v>
      </c>
      <c r="G16" s="33">
        <f>F16*25.5</f>
        <v>202980</v>
      </c>
    </row>
    <row r="17" spans="1:7" outlineLevel="3" x14ac:dyDescent="0.2">
      <c r="A17" s="31" t="s">
        <v>64</v>
      </c>
      <c r="B17" s="31">
        <v>1984</v>
      </c>
      <c r="C17" s="31" t="s">
        <v>53</v>
      </c>
      <c r="D17" s="31" t="s">
        <v>56</v>
      </c>
      <c r="E17" s="31" t="s">
        <v>74</v>
      </c>
      <c r="F17" s="32">
        <v>7960</v>
      </c>
      <c r="G17" s="33">
        <f>F17*25.5</f>
        <v>202980</v>
      </c>
    </row>
    <row r="18" spans="1:7" outlineLevel="2" x14ac:dyDescent="0.2">
      <c r="A18" s="31"/>
      <c r="B18" s="40" t="s">
        <v>127</v>
      </c>
      <c r="C18" s="31"/>
      <c r="D18" s="31"/>
      <c r="E18" s="31"/>
      <c r="F18" s="32">
        <f>SUBTOTAL(1,F15:F17)</f>
        <v>6426.666666666667</v>
      </c>
      <c r="G18" s="33"/>
    </row>
    <row r="19" spans="1:7" outlineLevel="3" x14ac:dyDescent="0.2">
      <c r="A19" s="31" t="s">
        <v>64</v>
      </c>
      <c r="B19" s="31">
        <v>1985</v>
      </c>
      <c r="C19" s="31" t="s">
        <v>53</v>
      </c>
      <c r="D19" s="31" t="s">
        <v>54</v>
      </c>
      <c r="E19" s="31" t="s">
        <v>73</v>
      </c>
      <c r="F19" s="32">
        <v>2560</v>
      </c>
      <c r="G19" s="33">
        <f>F19*25.5</f>
        <v>65280</v>
      </c>
    </row>
    <row r="20" spans="1:7" outlineLevel="3" x14ac:dyDescent="0.2">
      <c r="A20" s="31" t="s">
        <v>64</v>
      </c>
      <c r="B20" s="31">
        <v>1985</v>
      </c>
      <c r="C20" s="31" t="s">
        <v>58</v>
      </c>
      <c r="D20" s="31" t="s">
        <v>56</v>
      </c>
      <c r="E20" s="31" t="s">
        <v>73</v>
      </c>
      <c r="F20" s="32">
        <v>6860</v>
      </c>
      <c r="G20" s="33">
        <f>F20*25.5</f>
        <v>174930</v>
      </c>
    </row>
    <row r="21" spans="1:7" outlineLevel="2" x14ac:dyDescent="0.2">
      <c r="A21" s="31"/>
      <c r="B21" s="40" t="s">
        <v>128</v>
      </c>
      <c r="C21" s="31"/>
      <c r="D21" s="31"/>
      <c r="E21" s="31"/>
      <c r="F21" s="32">
        <f>SUBTOTAL(1,F19:F20)</f>
        <v>4710</v>
      </c>
      <c r="G21" s="33"/>
    </row>
    <row r="22" spans="1:7" outlineLevel="3" x14ac:dyDescent="0.2">
      <c r="A22" s="31" t="s">
        <v>64</v>
      </c>
      <c r="B22" s="31">
        <v>1986</v>
      </c>
      <c r="C22" s="31" t="s">
        <v>53</v>
      </c>
      <c r="D22" s="31" t="s">
        <v>56</v>
      </c>
      <c r="E22" s="31" t="s">
        <v>77</v>
      </c>
      <c r="F22" s="32">
        <v>6460</v>
      </c>
      <c r="G22" s="33">
        <f>F22*25.5</f>
        <v>164730</v>
      </c>
    </row>
    <row r="23" spans="1:7" outlineLevel="2" x14ac:dyDescent="0.2">
      <c r="A23" s="31"/>
      <c r="B23" s="40" t="s">
        <v>129</v>
      </c>
      <c r="C23" s="31"/>
      <c r="D23" s="31"/>
      <c r="E23" s="31"/>
      <c r="F23" s="32">
        <f>SUBTOTAL(1,F22:F22)</f>
        <v>6460</v>
      </c>
      <c r="G23" s="33"/>
    </row>
    <row r="24" spans="1:7" outlineLevel="3" x14ac:dyDescent="0.2">
      <c r="A24" s="31" t="s">
        <v>64</v>
      </c>
      <c r="B24" s="31">
        <v>1987</v>
      </c>
      <c r="C24" s="31" t="s">
        <v>58</v>
      </c>
      <c r="D24" s="31" t="s">
        <v>56</v>
      </c>
      <c r="E24" s="31" t="s">
        <v>73</v>
      </c>
      <c r="F24" s="32">
        <v>11860</v>
      </c>
      <c r="G24" s="33">
        <f>F24*25.5</f>
        <v>302430</v>
      </c>
    </row>
    <row r="25" spans="1:7" outlineLevel="2" x14ac:dyDescent="0.2">
      <c r="A25" s="31"/>
      <c r="B25" s="40" t="s">
        <v>130</v>
      </c>
      <c r="C25" s="31"/>
      <c r="D25" s="31"/>
      <c r="E25" s="31"/>
      <c r="F25" s="32">
        <f>SUBTOTAL(1,F24:F24)</f>
        <v>11860</v>
      </c>
      <c r="G25" s="33"/>
    </row>
    <row r="26" spans="1:7" outlineLevel="3" x14ac:dyDescent="0.2">
      <c r="A26" s="31" t="s">
        <v>64</v>
      </c>
      <c r="B26" s="31">
        <v>1988</v>
      </c>
      <c r="C26" s="31" t="s">
        <v>53</v>
      </c>
      <c r="D26" s="31" t="s">
        <v>56</v>
      </c>
      <c r="E26" s="31" t="s">
        <v>75</v>
      </c>
      <c r="F26" s="32">
        <v>5660</v>
      </c>
      <c r="G26" s="33">
        <f>F26*25.5</f>
        <v>144330</v>
      </c>
    </row>
    <row r="27" spans="1:7" outlineLevel="2" x14ac:dyDescent="0.2">
      <c r="A27" s="31"/>
      <c r="B27" s="40" t="s">
        <v>131</v>
      </c>
      <c r="C27" s="31"/>
      <c r="D27" s="31"/>
      <c r="E27" s="31"/>
      <c r="F27" s="32">
        <f>SUBTOTAL(1,F26:F26)</f>
        <v>5660</v>
      </c>
      <c r="G27" s="33"/>
    </row>
    <row r="28" spans="1:7" outlineLevel="3" x14ac:dyDescent="0.2">
      <c r="A28" s="31" t="s">
        <v>64</v>
      </c>
      <c r="B28" s="31">
        <v>1989</v>
      </c>
      <c r="C28" s="31" t="s">
        <v>76</v>
      </c>
      <c r="D28" s="31" t="s">
        <v>52</v>
      </c>
      <c r="E28" s="31" t="s">
        <v>74</v>
      </c>
      <c r="F28" s="32">
        <v>5260</v>
      </c>
      <c r="G28" s="33">
        <f>F28*25.5</f>
        <v>134130</v>
      </c>
    </row>
    <row r="29" spans="1:7" outlineLevel="3" x14ac:dyDescent="0.2">
      <c r="A29" s="31" t="s">
        <v>64</v>
      </c>
      <c r="B29" s="31">
        <v>1989</v>
      </c>
      <c r="C29" s="31" t="s">
        <v>76</v>
      </c>
      <c r="D29" s="31" t="s">
        <v>54</v>
      </c>
      <c r="E29" s="31" t="s">
        <v>77</v>
      </c>
      <c r="F29" s="32">
        <v>5260</v>
      </c>
      <c r="G29" s="33">
        <f>F29*25.5</f>
        <v>134130</v>
      </c>
    </row>
    <row r="30" spans="1:7" outlineLevel="2" x14ac:dyDescent="0.2">
      <c r="A30" s="31"/>
      <c r="B30" s="40" t="s">
        <v>132</v>
      </c>
      <c r="C30" s="31"/>
      <c r="D30" s="31"/>
      <c r="E30" s="31"/>
      <c r="F30" s="32">
        <f>SUBTOTAL(1,F28:F29)</f>
        <v>5260</v>
      </c>
      <c r="G30" s="33"/>
    </row>
    <row r="31" spans="1:7" outlineLevel="3" x14ac:dyDescent="0.2">
      <c r="A31" s="31" t="s">
        <v>64</v>
      </c>
      <c r="B31" s="31">
        <v>1990</v>
      </c>
      <c r="C31" s="31" t="s">
        <v>51</v>
      </c>
      <c r="D31" s="31" t="s">
        <v>52</v>
      </c>
      <c r="E31" s="31" t="s">
        <v>77</v>
      </c>
      <c r="F31" s="32">
        <v>4860</v>
      </c>
      <c r="G31" s="33">
        <f>F31*25.5</f>
        <v>123930</v>
      </c>
    </row>
    <row r="32" spans="1:7" outlineLevel="3" x14ac:dyDescent="0.2">
      <c r="A32" s="31" t="s">
        <v>64</v>
      </c>
      <c r="B32" s="31">
        <v>1990</v>
      </c>
      <c r="C32" s="31" t="s">
        <v>51</v>
      </c>
      <c r="D32" s="31" t="s">
        <v>52</v>
      </c>
      <c r="E32" s="31" t="s">
        <v>77</v>
      </c>
      <c r="F32" s="32">
        <v>4860</v>
      </c>
      <c r="G32" s="33">
        <f>F32*25.5</f>
        <v>123930</v>
      </c>
    </row>
    <row r="33" spans="1:7" outlineLevel="2" x14ac:dyDescent="0.2">
      <c r="A33" s="31"/>
      <c r="B33" s="40" t="s">
        <v>133</v>
      </c>
      <c r="C33" s="31"/>
      <c r="D33" s="31"/>
      <c r="E33" s="31"/>
      <c r="F33" s="32">
        <f>SUBTOTAL(1,F31:F32)</f>
        <v>4860</v>
      </c>
      <c r="G33" s="33"/>
    </row>
    <row r="34" spans="1:7" outlineLevel="3" x14ac:dyDescent="0.2">
      <c r="A34" s="31" t="s">
        <v>64</v>
      </c>
      <c r="B34" s="31">
        <v>1991</v>
      </c>
      <c r="C34" s="31" t="s">
        <v>58</v>
      </c>
      <c r="D34" s="31" t="s">
        <v>56</v>
      </c>
      <c r="E34" s="31" t="s">
        <v>73</v>
      </c>
      <c r="F34" s="32">
        <v>11060</v>
      </c>
      <c r="G34" s="33">
        <f>F34*25.5</f>
        <v>282030</v>
      </c>
    </row>
    <row r="35" spans="1:7" outlineLevel="2" x14ac:dyDescent="0.2">
      <c r="A35" s="31"/>
      <c r="B35" s="40" t="s">
        <v>134</v>
      </c>
      <c r="C35" s="31"/>
      <c r="D35" s="31"/>
      <c r="E35" s="31"/>
      <c r="F35" s="32">
        <f>SUBTOTAL(1,F34:F34)</f>
        <v>11060</v>
      </c>
      <c r="G35" s="33"/>
    </row>
    <row r="36" spans="1:7" outlineLevel="3" x14ac:dyDescent="0.2">
      <c r="A36" s="31" t="s">
        <v>64</v>
      </c>
      <c r="B36" s="31">
        <v>1992</v>
      </c>
      <c r="C36" s="31" t="s">
        <v>51</v>
      </c>
      <c r="D36" s="31" t="s">
        <v>54</v>
      </c>
      <c r="E36" s="31" t="s">
        <v>73</v>
      </c>
      <c r="F36" s="32">
        <v>5460</v>
      </c>
      <c r="G36" s="33">
        <f>F36*25.5</f>
        <v>139230</v>
      </c>
    </row>
    <row r="37" spans="1:7" outlineLevel="3" x14ac:dyDescent="0.2">
      <c r="A37" s="31" t="s">
        <v>64</v>
      </c>
      <c r="B37" s="31">
        <v>1992</v>
      </c>
      <c r="C37" s="31" t="s">
        <v>51</v>
      </c>
      <c r="D37" s="31" t="s">
        <v>56</v>
      </c>
      <c r="E37" s="31" t="s">
        <v>73</v>
      </c>
      <c r="F37" s="32">
        <v>6260</v>
      </c>
      <c r="G37" s="33">
        <f>F37*25.5</f>
        <v>159630</v>
      </c>
    </row>
    <row r="38" spans="1:7" outlineLevel="2" x14ac:dyDescent="0.2">
      <c r="A38" s="31"/>
      <c r="B38" s="40" t="s">
        <v>135</v>
      </c>
      <c r="C38" s="31"/>
      <c r="D38" s="31"/>
      <c r="E38" s="31"/>
      <c r="F38" s="32">
        <f>SUBTOTAL(1,F36:F37)</f>
        <v>5860</v>
      </c>
      <c r="G38" s="33"/>
    </row>
    <row r="39" spans="1:7" outlineLevel="3" x14ac:dyDescent="0.2">
      <c r="A39" s="31" t="s">
        <v>64</v>
      </c>
      <c r="B39" s="31">
        <v>1993</v>
      </c>
      <c r="C39" s="31" t="s">
        <v>76</v>
      </c>
      <c r="D39" s="31" t="s">
        <v>56</v>
      </c>
      <c r="E39" s="31" t="s">
        <v>73</v>
      </c>
      <c r="F39" s="32">
        <v>3660</v>
      </c>
      <c r="G39" s="33">
        <f>F39*25.5</f>
        <v>93330</v>
      </c>
    </row>
    <row r="40" spans="1:7" outlineLevel="3" x14ac:dyDescent="0.2">
      <c r="A40" s="31" t="s">
        <v>64</v>
      </c>
      <c r="B40" s="31">
        <v>1993</v>
      </c>
      <c r="C40" s="31" t="s">
        <v>76</v>
      </c>
      <c r="D40" s="31" t="s">
        <v>56</v>
      </c>
      <c r="E40" s="31" t="s">
        <v>77</v>
      </c>
      <c r="F40" s="32">
        <v>3660</v>
      </c>
      <c r="G40" s="33">
        <f>F40*25.5</f>
        <v>93330</v>
      </c>
    </row>
    <row r="41" spans="1:7" outlineLevel="2" x14ac:dyDescent="0.2">
      <c r="A41" s="31"/>
      <c r="B41" s="40" t="s">
        <v>136</v>
      </c>
      <c r="C41" s="31"/>
      <c r="D41" s="31"/>
      <c r="E41" s="31"/>
      <c r="F41" s="32">
        <f>SUBTOTAL(1,F39:F40)</f>
        <v>3660</v>
      </c>
      <c r="G41" s="33"/>
    </row>
    <row r="42" spans="1:7" outlineLevel="3" x14ac:dyDescent="0.2">
      <c r="A42" s="31" t="s">
        <v>64</v>
      </c>
      <c r="B42" s="31">
        <v>1994</v>
      </c>
      <c r="C42" s="31" t="s">
        <v>51</v>
      </c>
      <c r="D42" s="31" t="s">
        <v>50</v>
      </c>
      <c r="E42" s="31" t="s">
        <v>77</v>
      </c>
      <c r="F42" s="32">
        <v>3260</v>
      </c>
      <c r="G42" s="33">
        <f>F42*25.5</f>
        <v>83130</v>
      </c>
    </row>
    <row r="43" spans="1:7" outlineLevel="2" x14ac:dyDescent="0.2">
      <c r="A43" s="31"/>
      <c r="B43" s="40" t="s">
        <v>137</v>
      </c>
      <c r="C43" s="31"/>
      <c r="D43" s="31"/>
      <c r="E43" s="31"/>
      <c r="F43" s="32">
        <f>SUBTOTAL(1,F42:F42)</f>
        <v>3260</v>
      </c>
      <c r="G43" s="33"/>
    </row>
    <row r="44" spans="1:7" outlineLevel="3" x14ac:dyDescent="0.2">
      <c r="A44" s="31" t="s">
        <v>64</v>
      </c>
      <c r="B44" s="31">
        <v>1995</v>
      </c>
      <c r="C44" s="31" t="s">
        <v>58</v>
      </c>
      <c r="D44" s="31" t="s">
        <v>50</v>
      </c>
      <c r="E44" s="31" t="s">
        <v>73</v>
      </c>
      <c r="F44" s="32">
        <v>2860</v>
      </c>
      <c r="G44" s="33">
        <f>F44*25.5</f>
        <v>72930</v>
      </c>
    </row>
    <row r="45" spans="1:7" outlineLevel="3" x14ac:dyDescent="0.2">
      <c r="A45" s="31" t="s">
        <v>64</v>
      </c>
      <c r="B45" s="31">
        <v>1995</v>
      </c>
      <c r="C45" s="31" t="s">
        <v>58</v>
      </c>
      <c r="D45" s="31" t="s">
        <v>50</v>
      </c>
      <c r="E45" s="31" t="s">
        <v>75</v>
      </c>
      <c r="F45" s="32">
        <v>2860</v>
      </c>
      <c r="G45" s="33">
        <f>F45*25.5</f>
        <v>72930</v>
      </c>
    </row>
    <row r="46" spans="1:7" outlineLevel="3" x14ac:dyDescent="0.2">
      <c r="A46" s="31" t="s">
        <v>64</v>
      </c>
      <c r="B46" s="31">
        <v>1995</v>
      </c>
      <c r="C46" s="31" t="s">
        <v>51</v>
      </c>
      <c r="D46" s="31" t="s">
        <v>50</v>
      </c>
      <c r="E46" s="31" t="s">
        <v>75</v>
      </c>
      <c r="F46" s="32">
        <v>3260</v>
      </c>
      <c r="G46" s="33">
        <f>F46*25.5</f>
        <v>83130</v>
      </c>
    </row>
    <row r="47" spans="1:7" outlineLevel="3" x14ac:dyDescent="0.2">
      <c r="A47" s="31" t="s">
        <v>64</v>
      </c>
      <c r="B47" s="31">
        <v>1995</v>
      </c>
      <c r="C47" s="31" t="s">
        <v>58</v>
      </c>
      <c r="D47" s="31" t="s">
        <v>52</v>
      </c>
      <c r="E47" s="31" t="s">
        <v>74</v>
      </c>
      <c r="F47" s="32">
        <v>4460</v>
      </c>
      <c r="G47" s="33">
        <f>F47*25.5</f>
        <v>113730</v>
      </c>
    </row>
    <row r="48" spans="1:7" outlineLevel="2" x14ac:dyDescent="0.2">
      <c r="A48" s="31"/>
      <c r="B48" s="40" t="s">
        <v>138</v>
      </c>
      <c r="C48" s="31"/>
      <c r="D48" s="31"/>
      <c r="E48" s="31"/>
      <c r="F48" s="32">
        <f>SUBTOTAL(1,F44:F47)</f>
        <v>3360</v>
      </c>
      <c r="G48" s="33"/>
    </row>
    <row r="49" spans="1:7" outlineLevel="1" x14ac:dyDescent="0.2">
      <c r="A49" s="39" t="s">
        <v>119</v>
      </c>
      <c r="B49" s="31"/>
      <c r="C49" s="31"/>
      <c r="D49" s="31"/>
      <c r="E49" s="31"/>
      <c r="F49" s="32"/>
      <c r="G49" s="33">
        <f>SUBTOTAL(9,G7:G47)</f>
        <v>4221780</v>
      </c>
    </row>
    <row r="50" spans="1:7" outlineLevel="3" x14ac:dyDescent="0.2">
      <c r="A50" s="31" t="s">
        <v>65</v>
      </c>
      <c r="B50" s="31">
        <v>1980</v>
      </c>
      <c r="C50" s="31" t="s">
        <v>51</v>
      </c>
      <c r="D50" s="31" t="s">
        <v>50</v>
      </c>
      <c r="E50" s="31" t="s">
        <v>75</v>
      </c>
      <c r="F50" s="32">
        <v>11960</v>
      </c>
      <c r="G50" s="33">
        <f>F50*25.5</f>
        <v>304980</v>
      </c>
    </row>
    <row r="51" spans="1:7" outlineLevel="2" x14ac:dyDescent="0.2">
      <c r="A51" s="31"/>
      <c r="B51" s="40" t="s">
        <v>123</v>
      </c>
      <c r="C51" s="31"/>
      <c r="D51" s="31"/>
      <c r="E51" s="31"/>
      <c r="F51" s="32">
        <f>SUBTOTAL(1,F50:F50)</f>
        <v>11960</v>
      </c>
      <c r="G51" s="33"/>
    </row>
    <row r="52" spans="1:7" outlineLevel="3" x14ac:dyDescent="0.2">
      <c r="A52" s="31" t="s">
        <v>65</v>
      </c>
      <c r="B52" s="31">
        <v>1981</v>
      </c>
      <c r="C52" s="31" t="s">
        <v>76</v>
      </c>
      <c r="D52" s="31" t="s">
        <v>50</v>
      </c>
      <c r="E52" s="31" t="s">
        <v>75</v>
      </c>
      <c r="F52" s="32">
        <v>11560</v>
      </c>
      <c r="G52" s="33">
        <f>F52*25.5</f>
        <v>294780</v>
      </c>
    </row>
    <row r="53" spans="1:7" outlineLevel="2" x14ac:dyDescent="0.2">
      <c r="A53" s="31"/>
      <c r="B53" s="40" t="s">
        <v>124</v>
      </c>
      <c r="C53" s="31"/>
      <c r="D53" s="31"/>
      <c r="E53" s="31"/>
      <c r="F53" s="32">
        <f>SUBTOTAL(1,F52:F52)</f>
        <v>11560</v>
      </c>
      <c r="G53" s="33"/>
    </row>
    <row r="54" spans="1:7" outlineLevel="3" x14ac:dyDescent="0.2">
      <c r="A54" s="31" t="s">
        <v>65</v>
      </c>
      <c r="B54" s="31">
        <v>1982</v>
      </c>
      <c r="C54" s="31" t="s">
        <v>53</v>
      </c>
      <c r="D54" s="31" t="s">
        <v>56</v>
      </c>
      <c r="E54" s="31" t="s">
        <v>73</v>
      </c>
      <c r="F54" s="32">
        <v>11160</v>
      </c>
      <c r="G54" s="33">
        <f>F54*25.5</f>
        <v>284580</v>
      </c>
    </row>
    <row r="55" spans="1:7" outlineLevel="2" x14ac:dyDescent="0.2">
      <c r="A55" s="31"/>
      <c r="B55" s="40" t="s">
        <v>125</v>
      </c>
      <c r="C55" s="31"/>
      <c r="D55" s="31"/>
      <c r="E55" s="31"/>
      <c r="F55" s="32">
        <f>SUBTOTAL(1,F54:F54)</f>
        <v>11160</v>
      </c>
      <c r="G55" s="33"/>
    </row>
    <row r="56" spans="1:7" outlineLevel="3" x14ac:dyDescent="0.2">
      <c r="A56" s="31" t="s">
        <v>65</v>
      </c>
      <c r="B56" s="31">
        <v>1983</v>
      </c>
      <c r="C56" s="31" t="s">
        <v>76</v>
      </c>
      <c r="D56" s="31" t="s">
        <v>56</v>
      </c>
      <c r="E56" s="31" t="s">
        <v>75</v>
      </c>
      <c r="F56" s="32">
        <v>10760</v>
      </c>
      <c r="G56" s="33">
        <f>F56*25.5</f>
        <v>274380</v>
      </c>
    </row>
    <row r="57" spans="1:7" outlineLevel="2" x14ac:dyDescent="0.2">
      <c r="A57" s="31"/>
      <c r="B57" s="40" t="s">
        <v>126</v>
      </c>
      <c r="C57" s="31"/>
      <c r="D57" s="31"/>
      <c r="E57" s="31"/>
      <c r="F57" s="32">
        <f>SUBTOTAL(1,F56:F56)</f>
        <v>10760</v>
      </c>
      <c r="G57" s="33"/>
    </row>
    <row r="58" spans="1:7" outlineLevel="3" x14ac:dyDescent="0.2">
      <c r="A58" s="31" t="s">
        <v>65</v>
      </c>
      <c r="B58" s="31">
        <v>1984</v>
      </c>
      <c r="C58" s="31" t="s">
        <v>51</v>
      </c>
      <c r="D58" s="31" t="s">
        <v>54</v>
      </c>
      <c r="E58" s="31" t="s">
        <v>73</v>
      </c>
      <c r="F58" s="32">
        <v>7160</v>
      </c>
      <c r="G58" s="33">
        <f>F58*25.5</f>
        <v>182580</v>
      </c>
    </row>
    <row r="59" spans="1:7" outlineLevel="3" x14ac:dyDescent="0.2">
      <c r="A59" s="31" t="s">
        <v>65</v>
      </c>
      <c r="B59" s="31">
        <v>1984</v>
      </c>
      <c r="C59" s="31" t="s">
        <v>51</v>
      </c>
      <c r="D59" s="31" t="s">
        <v>54</v>
      </c>
      <c r="E59" s="31" t="s">
        <v>74</v>
      </c>
      <c r="F59" s="32">
        <v>7160</v>
      </c>
      <c r="G59" s="33">
        <f>F59*25.5</f>
        <v>182580</v>
      </c>
    </row>
    <row r="60" spans="1:7" outlineLevel="2" x14ac:dyDescent="0.2">
      <c r="A60" s="31"/>
      <c r="B60" s="40" t="s">
        <v>127</v>
      </c>
      <c r="C60" s="31"/>
      <c r="D60" s="31"/>
      <c r="E60" s="31"/>
      <c r="F60" s="32">
        <f>SUBTOTAL(1,F58:F59)</f>
        <v>7160</v>
      </c>
      <c r="G60" s="33"/>
    </row>
    <row r="61" spans="1:7" outlineLevel="3" x14ac:dyDescent="0.2">
      <c r="A61" s="31" t="s">
        <v>65</v>
      </c>
      <c r="B61" s="31">
        <v>1985</v>
      </c>
      <c r="C61" s="31" t="s">
        <v>51</v>
      </c>
      <c r="D61" s="31" t="s">
        <v>54</v>
      </c>
      <c r="E61" s="31" t="s">
        <v>77</v>
      </c>
      <c r="F61" s="32">
        <v>6360</v>
      </c>
      <c r="G61" s="33">
        <f>F61*25.5</f>
        <v>162180</v>
      </c>
    </row>
    <row r="62" spans="1:7" outlineLevel="3" x14ac:dyDescent="0.2">
      <c r="A62" s="31" t="s">
        <v>65</v>
      </c>
      <c r="B62" s="31">
        <v>1985</v>
      </c>
      <c r="C62" s="31" t="s">
        <v>76</v>
      </c>
      <c r="D62" s="31" t="s">
        <v>54</v>
      </c>
      <c r="E62" s="31" t="s">
        <v>74</v>
      </c>
      <c r="F62" s="32">
        <v>6760</v>
      </c>
      <c r="G62" s="33">
        <f>F62*25.5</f>
        <v>172380</v>
      </c>
    </row>
    <row r="63" spans="1:7" outlineLevel="3" x14ac:dyDescent="0.2">
      <c r="A63" s="31" t="s">
        <v>65</v>
      </c>
      <c r="B63" s="31">
        <v>1985</v>
      </c>
      <c r="C63" s="31" t="s">
        <v>76</v>
      </c>
      <c r="D63" s="31" t="s">
        <v>50</v>
      </c>
      <c r="E63" s="31" t="s">
        <v>74</v>
      </c>
      <c r="F63" s="32">
        <v>6760</v>
      </c>
      <c r="G63" s="33">
        <f>F63*25.5</f>
        <v>172380</v>
      </c>
    </row>
    <row r="64" spans="1:7" outlineLevel="2" x14ac:dyDescent="0.2">
      <c r="A64" s="31"/>
      <c r="B64" s="40" t="s">
        <v>128</v>
      </c>
      <c r="C64" s="31"/>
      <c r="D64" s="31"/>
      <c r="E64" s="31"/>
      <c r="F64" s="32">
        <f>SUBTOTAL(1,F61:F63)</f>
        <v>6626.666666666667</v>
      </c>
      <c r="G64" s="33"/>
    </row>
    <row r="65" spans="1:7" outlineLevel="3" x14ac:dyDescent="0.2">
      <c r="A65" s="31" t="s">
        <v>65</v>
      </c>
      <c r="B65" s="31">
        <v>1986</v>
      </c>
      <c r="C65" s="31" t="s">
        <v>51</v>
      </c>
      <c r="D65" s="31" t="s">
        <v>54</v>
      </c>
      <c r="E65" s="31" t="s">
        <v>75</v>
      </c>
      <c r="F65" s="32">
        <v>6360</v>
      </c>
      <c r="G65" s="33">
        <f>F65*25.5</f>
        <v>162180</v>
      </c>
    </row>
    <row r="66" spans="1:7" outlineLevel="2" x14ac:dyDescent="0.2">
      <c r="A66" s="31"/>
      <c r="B66" s="40" t="s">
        <v>129</v>
      </c>
      <c r="C66" s="31"/>
      <c r="D66" s="31"/>
      <c r="E66" s="31"/>
      <c r="F66" s="32">
        <f>SUBTOTAL(1,F65:F65)</f>
        <v>6360</v>
      </c>
      <c r="G66" s="33"/>
    </row>
    <row r="67" spans="1:7" outlineLevel="3" x14ac:dyDescent="0.2">
      <c r="A67" s="31" t="s">
        <v>65</v>
      </c>
      <c r="B67" s="31">
        <v>1987</v>
      </c>
      <c r="C67" s="31" t="s">
        <v>76</v>
      </c>
      <c r="D67" s="31" t="s">
        <v>50</v>
      </c>
      <c r="E67" s="31" t="s">
        <v>73</v>
      </c>
      <c r="F67" s="32">
        <v>5960</v>
      </c>
      <c r="G67" s="33">
        <f>F67*25.5</f>
        <v>151980</v>
      </c>
    </row>
    <row r="68" spans="1:7" outlineLevel="2" x14ac:dyDescent="0.2">
      <c r="A68" s="31"/>
      <c r="B68" s="40" t="s">
        <v>130</v>
      </c>
      <c r="C68" s="31"/>
      <c r="D68" s="31"/>
      <c r="E68" s="31"/>
      <c r="F68" s="32">
        <f>SUBTOTAL(1,F67:F67)</f>
        <v>5960</v>
      </c>
      <c r="G68" s="33"/>
    </row>
    <row r="69" spans="1:7" outlineLevel="3" x14ac:dyDescent="0.2">
      <c r="A69" s="31" t="s">
        <v>65</v>
      </c>
      <c r="B69" s="31">
        <v>1988</v>
      </c>
      <c r="C69" s="31" t="s">
        <v>51</v>
      </c>
      <c r="D69" s="31" t="s">
        <v>50</v>
      </c>
      <c r="E69" s="31" t="s">
        <v>73</v>
      </c>
      <c r="F69" s="32">
        <v>5560</v>
      </c>
      <c r="G69" s="33">
        <f>F69*25.5</f>
        <v>141780</v>
      </c>
    </row>
    <row r="70" spans="1:7" outlineLevel="2" x14ac:dyDescent="0.2">
      <c r="A70" s="31"/>
      <c r="B70" s="40" t="s">
        <v>131</v>
      </c>
      <c r="C70" s="31"/>
      <c r="D70" s="31"/>
      <c r="E70" s="31"/>
      <c r="F70" s="32">
        <f>SUBTOTAL(1,F69:F69)</f>
        <v>5560</v>
      </c>
      <c r="G70" s="33"/>
    </row>
    <row r="71" spans="1:7" outlineLevel="3" x14ac:dyDescent="0.2">
      <c r="A71" s="31" t="s">
        <v>65</v>
      </c>
      <c r="B71" s="31">
        <v>1989</v>
      </c>
      <c r="C71" s="31" t="s">
        <v>58</v>
      </c>
      <c r="D71" s="31" t="s">
        <v>52</v>
      </c>
      <c r="E71" s="31" t="s">
        <v>74</v>
      </c>
      <c r="F71" s="32">
        <v>5160</v>
      </c>
      <c r="G71" s="33">
        <f>F71*25.5</f>
        <v>131580</v>
      </c>
    </row>
    <row r="72" spans="1:7" outlineLevel="3" x14ac:dyDescent="0.2">
      <c r="A72" s="31" t="s">
        <v>65</v>
      </c>
      <c r="B72" s="31">
        <v>1989</v>
      </c>
      <c r="C72" s="31" t="s">
        <v>58</v>
      </c>
      <c r="D72" s="31" t="s">
        <v>54</v>
      </c>
      <c r="E72" s="31" t="s">
        <v>77</v>
      </c>
      <c r="F72" s="32">
        <v>5160</v>
      </c>
      <c r="G72" s="33">
        <f>F72*25.5</f>
        <v>131580</v>
      </c>
    </row>
    <row r="73" spans="1:7" outlineLevel="2" x14ac:dyDescent="0.2">
      <c r="A73" s="31"/>
      <c r="B73" s="40" t="s">
        <v>132</v>
      </c>
      <c r="C73" s="31"/>
      <c r="D73" s="31"/>
      <c r="E73" s="31"/>
      <c r="F73" s="32">
        <f>SUBTOTAL(1,F71:F72)</f>
        <v>5160</v>
      </c>
      <c r="G73" s="33"/>
    </row>
    <row r="74" spans="1:7" outlineLevel="3" x14ac:dyDescent="0.2">
      <c r="A74" s="31" t="s">
        <v>65</v>
      </c>
      <c r="B74" s="31">
        <v>1990</v>
      </c>
      <c r="C74" s="31" t="s">
        <v>53</v>
      </c>
      <c r="D74" s="31" t="s">
        <v>50</v>
      </c>
      <c r="E74" s="31" t="s">
        <v>73</v>
      </c>
      <c r="F74" s="32">
        <v>4760</v>
      </c>
      <c r="G74" s="33">
        <f>F74*25.5</f>
        <v>121380</v>
      </c>
    </row>
    <row r="75" spans="1:7" outlineLevel="3" x14ac:dyDescent="0.2">
      <c r="A75" s="31" t="s">
        <v>65</v>
      </c>
      <c r="B75" s="31">
        <v>1990</v>
      </c>
      <c r="C75" s="31" t="s">
        <v>53</v>
      </c>
      <c r="D75" s="31" t="s">
        <v>50</v>
      </c>
      <c r="E75" s="31" t="s">
        <v>77</v>
      </c>
      <c r="F75" s="32">
        <v>4760</v>
      </c>
      <c r="G75" s="33">
        <f>F75*25.5</f>
        <v>121380</v>
      </c>
    </row>
    <row r="76" spans="1:7" outlineLevel="3" x14ac:dyDescent="0.2">
      <c r="A76" s="31" t="s">
        <v>65</v>
      </c>
      <c r="B76" s="31">
        <v>1990</v>
      </c>
      <c r="C76" s="31" t="s">
        <v>53</v>
      </c>
      <c r="D76" s="31" t="s">
        <v>50</v>
      </c>
      <c r="E76" s="31" t="s">
        <v>75</v>
      </c>
      <c r="F76" s="32">
        <v>4760</v>
      </c>
      <c r="G76" s="33">
        <f>F76*25.5</f>
        <v>121380</v>
      </c>
    </row>
    <row r="77" spans="1:7" outlineLevel="2" x14ac:dyDescent="0.2">
      <c r="A77" s="31"/>
      <c r="B77" s="40" t="s">
        <v>133</v>
      </c>
      <c r="C77" s="31"/>
      <c r="D77" s="31"/>
      <c r="E77" s="31"/>
      <c r="F77" s="32">
        <f>SUBTOTAL(1,F74:F76)</f>
        <v>4760</v>
      </c>
      <c r="G77" s="33"/>
    </row>
    <row r="78" spans="1:7" outlineLevel="3" x14ac:dyDescent="0.2">
      <c r="A78" s="31" t="s">
        <v>65</v>
      </c>
      <c r="B78" s="31">
        <v>1991</v>
      </c>
      <c r="C78" s="31" t="s">
        <v>76</v>
      </c>
      <c r="D78" s="31" t="s">
        <v>54</v>
      </c>
      <c r="E78" s="31" t="s">
        <v>77</v>
      </c>
      <c r="F78" s="32">
        <v>4360</v>
      </c>
      <c r="G78" s="33">
        <f>F78*25.5</f>
        <v>111180</v>
      </c>
    </row>
    <row r="79" spans="1:7" outlineLevel="3" x14ac:dyDescent="0.2">
      <c r="A79" s="31" t="s">
        <v>65</v>
      </c>
      <c r="B79" s="31">
        <v>1991</v>
      </c>
      <c r="C79" s="31" t="s">
        <v>76</v>
      </c>
      <c r="D79" s="31" t="s">
        <v>50</v>
      </c>
      <c r="E79" s="31" t="s">
        <v>75</v>
      </c>
      <c r="F79" s="32">
        <v>4360</v>
      </c>
      <c r="G79" s="33">
        <f>F79*25.5</f>
        <v>111180</v>
      </c>
    </row>
    <row r="80" spans="1:7" outlineLevel="2" x14ac:dyDescent="0.2">
      <c r="A80" s="31"/>
      <c r="B80" s="40" t="s">
        <v>134</v>
      </c>
      <c r="C80" s="31"/>
      <c r="D80" s="31"/>
      <c r="E80" s="31"/>
      <c r="F80" s="32">
        <f>SUBTOTAL(1,F78:F79)</f>
        <v>4360</v>
      </c>
      <c r="G80" s="33"/>
    </row>
    <row r="81" spans="1:7" outlineLevel="3" x14ac:dyDescent="0.2">
      <c r="A81" s="31" t="s">
        <v>65</v>
      </c>
      <c r="B81" s="31">
        <v>1992</v>
      </c>
      <c r="C81" s="31" t="s">
        <v>58</v>
      </c>
      <c r="D81" s="31" t="s">
        <v>54</v>
      </c>
      <c r="E81" s="31" t="s">
        <v>77</v>
      </c>
      <c r="F81" s="32">
        <v>3960</v>
      </c>
      <c r="G81" s="33">
        <f>F81*25.5</f>
        <v>100980</v>
      </c>
    </row>
    <row r="82" spans="1:7" outlineLevel="3" x14ac:dyDescent="0.2">
      <c r="A82" s="31" t="s">
        <v>65</v>
      </c>
      <c r="B82" s="31">
        <v>1992</v>
      </c>
      <c r="C82" s="31" t="s">
        <v>58</v>
      </c>
      <c r="D82" s="31" t="s">
        <v>56</v>
      </c>
      <c r="E82" s="31" t="s">
        <v>75</v>
      </c>
      <c r="F82" s="32">
        <v>3960</v>
      </c>
      <c r="G82" s="33">
        <f>F82*25.5</f>
        <v>100980</v>
      </c>
    </row>
    <row r="83" spans="1:7" outlineLevel="2" x14ac:dyDescent="0.2">
      <c r="A83" s="31"/>
      <c r="B83" s="40" t="s">
        <v>135</v>
      </c>
      <c r="C83" s="31"/>
      <c r="D83" s="31"/>
      <c r="E83" s="31"/>
      <c r="F83" s="32">
        <f>SUBTOTAL(1,F81:F82)</f>
        <v>3960</v>
      </c>
      <c r="G83" s="33"/>
    </row>
    <row r="84" spans="1:7" outlineLevel="3" x14ac:dyDescent="0.2">
      <c r="A84" s="31" t="s">
        <v>65</v>
      </c>
      <c r="B84" s="31">
        <v>1993</v>
      </c>
      <c r="C84" s="31" t="s">
        <v>58</v>
      </c>
      <c r="D84" s="31" t="s">
        <v>50</v>
      </c>
      <c r="E84" s="31" t="s">
        <v>75</v>
      </c>
      <c r="F84" s="32">
        <v>3560</v>
      </c>
      <c r="G84" s="33">
        <f>F84*25.5</f>
        <v>90780</v>
      </c>
    </row>
    <row r="85" spans="1:7" outlineLevel="2" x14ac:dyDescent="0.2">
      <c r="A85" s="31"/>
      <c r="B85" s="40" t="s">
        <v>136</v>
      </c>
      <c r="C85" s="31"/>
      <c r="D85" s="31"/>
      <c r="E85" s="31"/>
      <c r="F85" s="32">
        <f>SUBTOTAL(1,F84:F84)</f>
        <v>3560</v>
      </c>
      <c r="G85" s="33"/>
    </row>
    <row r="86" spans="1:7" outlineLevel="3" x14ac:dyDescent="0.2">
      <c r="A86" s="31" t="s">
        <v>65</v>
      </c>
      <c r="B86" s="31">
        <v>1994</v>
      </c>
      <c r="C86" s="31" t="s">
        <v>53</v>
      </c>
      <c r="D86" s="31" t="s">
        <v>50</v>
      </c>
      <c r="E86" s="31" t="s">
        <v>73</v>
      </c>
      <c r="F86" s="32">
        <v>3160</v>
      </c>
      <c r="G86" s="33">
        <f>F86*25.5</f>
        <v>80580</v>
      </c>
    </row>
    <row r="87" spans="1:7" outlineLevel="2" x14ac:dyDescent="0.2">
      <c r="A87" s="31"/>
      <c r="B87" s="40" t="s">
        <v>137</v>
      </c>
      <c r="C87" s="31"/>
      <c r="D87" s="31"/>
      <c r="E87" s="31"/>
      <c r="F87" s="32">
        <f>SUBTOTAL(1,F86:F86)</f>
        <v>3160</v>
      </c>
      <c r="G87" s="33"/>
    </row>
    <row r="88" spans="1:7" outlineLevel="3" x14ac:dyDescent="0.2">
      <c r="A88" s="31" t="s">
        <v>65</v>
      </c>
      <c r="B88" s="31">
        <v>1995</v>
      </c>
      <c r="C88" s="31" t="s">
        <v>76</v>
      </c>
      <c r="D88" s="31" t="s">
        <v>50</v>
      </c>
      <c r="E88" s="31" t="s">
        <v>77</v>
      </c>
      <c r="F88" s="32">
        <v>2760</v>
      </c>
      <c r="G88" s="33">
        <f>F88*25.5</f>
        <v>70380</v>
      </c>
    </row>
    <row r="89" spans="1:7" outlineLevel="3" x14ac:dyDescent="0.2">
      <c r="A89" s="31" t="s">
        <v>65</v>
      </c>
      <c r="B89" s="31">
        <v>1995</v>
      </c>
      <c r="C89" s="31" t="s">
        <v>76</v>
      </c>
      <c r="D89" s="31" t="s">
        <v>50</v>
      </c>
      <c r="E89" s="31" t="s">
        <v>75</v>
      </c>
      <c r="F89" s="32">
        <v>2760</v>
      </c>
      <c r="G89" s="33">
        <f>F89*25.5</f>
        <v>70380</v>
      </c>
    </row>
    <row r="90" spans="1:7" outlineLevel="3" x14ac:dyDescent="0.2">
      <c r="A90" s="31" t="s">
        <v>65</v>
      </c>
      <c r="B90" s="31">
        <v>1995</v>
      </c>
      <c r="C90" s="31" t="s">
        <v>53</v>
      </c>
      <c r="D90" s="31" t="s">
        <v>50</v>
      </c>
      <c r="E90" s="31" t="s">
        <v>75</v>
      </c>
      <c r="F90" s="32">
        <v>3160</v>
      </c>
      <c r="G90" s="33">
        <f>F90*25.5</f>
        <v>80580</v>
      </c>
    </row>
    <row r="91" spans="1:7" outlineLevel="3" x14ac:dyDescent="0.2">
      <c r="A91" s="31" t="s">
        <v>65</v>
      </c>
      <c r="B91" s="31">
        <v>1995</v>
      </c>
      <c r="C91" s="31" t="s">
        <v>58</v>
      </c>
      <c r="D91" s="31" t="s">
        <v>56</v>
      </c>
      <c r="E91" s="31" t="s">
        <v>73</v>
      </c>
      <c r="F91" s="32">
        <v>3560</v>
      </c>
      <c r="G91" s="33">
        <f>F91*25.5</f>
        <v>90780</v>
      </c>
    </row>
    <row r="92" spans="1:7" outlineLevel="3" x14ac:dyDescent="0.2">
      <c r="A92" s="31" t="s">
        <v>65</v>
      </c>
      <c r="B92" s="31">
        <v>1995</v>
      </c>
      <c r="C92" s="31" t="s">
        <v>76</v>
      </c>
      <c r="D92" s="31" t="s">
        <v>52</v>
      </c>
      <c r="E92" s="31" t="s">
        <v>75</v>
      </c>
      <c r="F92" s="32">
        <v>4360</v>
      </c>
      <c r="G92" s="33">
        <f>F92*25.5</f>
        <v>111180</v>
      </c>
    </row>
    <row r="93" spans="1:7" outlineLevel="2" x14ac:dyDescent="0.2">
      <c r="A93" s="31"/>
      <c r="B93" s="40" t="s">
        <v>138</v>
      </c>
      <c r="C93" s="31"/>
      <c r="D93" s="31"/>
      <c r="E93" s="31"/>
      <c r="F93" s="32">
        <f>SUBTOTAL(1,F88:F92)</f>
        <v>3320</v>
      </c>
      <c r="G93" s="33"/>
    </row>
    <row r="94" spans="1:7" outlineLevel="1" x14ac:dyDescent="0.2">
      <c r="A94" s="39" t="s">
        <v>120</v>
      </c>
      <c r="B94" s="31"/>
      <c r="C94" s="31"/>
      <c r="D94" s="31"/>
      <c r="E94" s="31"/>
      <c r="F94" s="32"/>
      <c r="G94" s="33">
        <f>SUBTOTAL(9,G50:G92)</f>
        <v>4133040</v>
      </c>
    </row>
    <row r="95" spans="1:7" outlineLevel="3" x14ac:dyDescent="0.2">
      <c r="A95" s="31" t="s">
        <v>49</v>
      </c>
      <c r="B95" s="31">
        <v>1980</v>
      </c>
      <c r="C95" s="31" t="s">
        <v>58</v>
      </c>
      <c r="D95" s="31" t="s">
        <v>54</v>
      </c>
      <c r="E95" s="31" t="s">
        <v>73</v>
      </c>
      <c r="F95" s="32">
        <v>11860</v>
      </c>
      <c r="G95" s="33">
        <f>F95*25.5</f>
        <v>302430</v>
      </c>
    </row>
    <row r="96" spans="1:7" outlineLevel="2" x14ac:dyDescent="0.2">
      <c r="A96" s="31"/>
      <c r="B96" s="40" t="s">
        <v>123</v>
      </c>
      <c r="C96" s="31"/>
      <c r="D96" s="31"/>
      <c r="E96" s="31"/>
      <c r="F96" s="32">
        <f>SUBTOTAL(1,F95:F95)</f>
        <v>11860</v>
      </c>
      <c r="G96" s="33"/>
    </row>
    <row r="97" spans="1:7" outlineLevel="3" x14ac:dyDescent="0.2">
      <c r="A97" s="31" t="s">
        <v>49</v>
      </c>
      <c r="B97" s="31">
        <v>1981</v>
      </c>
      <c r="C97" s="31" t="s">
        <v>58</v>
      </c>
      <c r="D97" s="31" t="s">
        <v>54</v>
      </c>
      <c r="E97" s="31" t="s">
        <v>77</v>
      </c>
      <c r="F97" s="32">
        <v>11460</v>
      </c>
      <c r="G97" s="33">
        <f>F97*25.5</f>
        <v>292230</v>
      </c>
    </row>
    <row r="98" spans="1:7" outlineLevel="2" x14ac:dyDescent="0.2">
      <c r="A98" s="31"/>
      <c r="B98" s="40" t="s">
        <v>124</v>
      </c>
      <c r="C98" s="31"/>
      <c r="D98" s="31"/>
      <c r="E98" s="31"/>
      <c r="F98" s="32">
        <f>SUBTOTAL(1,F97:F97)</f>
        <v>11460</v>
      </c>
      <c r="G98" s="33"/>
    </row>
    <row r="99" spans="1:7" outlineLevel="3" x14ac:dyDescent="0.2">
      <c r="A99" s="31" t="s">
        <v>49</v>
      </c>
      <c r="B99" s="31">
        <v>1982</v>
      </c>
      <c r="C99" s="31" t="s">
        <v>51</v>
      </c>
      <c r="D99" s="31" t="s">
        <v>54</v>
      </c>
      <c r="E99" s="31" t="s">
        <v>73</v>
      </c>
      <c r="F99" s="32">
        <v>11060</v>
      </c>
      <c r="G99" s="33">
        <f>F99*25.5</f>
        <v>282030</v>
      </c>
    </row>
    <row r="100" spans="1:7" outlineLevel="2" x14ac:dyDescent="0.2">
      <c r="A100" s="31"/>
      <c r="B100" s="40" t="s">
        <v>125</v>
      </c>
      <c r="C100" s="31"/>
      <c r="D100" s="31"/>
      <c r="E100" s="31"/>
      <c r="F100" s="32">
        <f>SUBTOTAL(1,F99:F99)</f>
        <v>11060</v>
      </c>
      <c r="G100" s="33"/>
    </row>
    <row r="101" spans="1:7" outlineLevel="3" x14ac:dyDescent="0.2">
      <c r="A101" s="31" t="s">
        <v>49</v>
      </c>
      <c r="B101" s="31">
        <v>1983</v>
      </c>
      <c r="C101" s="31" t="s">
        <v>53</v>
      </c>
      <c r="D101" s="31" t="s">
        <v>50</v>
      </c>
      <c r="E101" s="31" t="s">
        <v>75</v>
      </c>
      <c r="F101" s="32">
        <v>10660</v>
      </c>
      <c r="G101" s="33">
        <f>F101*25.5</f>
        <v>271830</v>
      </c>
    </row>
    <row r="102" spans="1:7" outlineLevel="2" x14ac:dyDescent="0.2">
      <c r="A102" s="31"/>
      <c r="B102" s="40" t="s">
        <v>126</v>
      </c>
      <c r="C102" s="31"/>
      <c r="D102" s="31"/>
      <c r="E102" s="31"/>
      <c r="F102" s="32">
        <f>SUBTOTAL(1,F101:F101)</f>
        <v>10660</v>
      </c>
      <c r="G102" s="33"/>
    </row>
    <row r="103" spans="1:7" outlineLevel="3" x14ac:dyDescent="0.2">
      <c r="A103" s="31" t="s">
        <v>49</v>
      </c>
      <c r="B103" s="31">
        <v>1984</v>
      </c>
      <c r="C103" s="31" t="s">
        <v>58</v>
      </c>
      <c r="D103" s="31" t="s">
        <v>54</v>
      </c>
      <c r="E103" s="31" t="s">
        <v>77</v>
      </c>
      <c r="F103" s="32">
        <v>7060</v>
      </c>
      <c r="G103" s="33">
        <f>F103*25.5</f>
        <v>180030</v>
      </c>
    </row>
    <row r="104" spans="1:7" outlineLevel="3" x14ac:dyDescent="0.2">
      <c r="A104" s="31" t="s">
        <v>49</v>
      </c>
      <c r="B104" s="31">
        <v>1984</v>
      </c>
      <c r="C104" s="31" t="s">
        <v>58</v>
      </c>
      <c r="D104" s="31" t="s">
        <v>54</v>
      </c>
      <c r="E104" s="31" t="s">
        <v>75</v>
      </c>
      <c r="F104" s="32">
        <v>7060</v>
      </c>
      <c r="G104" s="33">
        <f>F104*25.5</f>
        <v>180030</v>
      </c>
    </row>
    <row r="105" spans="1:7" outlineLevel="2" x14ac:dyDescent="0.2">
      <c r="A105" s="31"/>
      <c r="B105" s="40" t="s">
        <v>127</v>
      </c>
      <c r="C105" s="31"/>
      <c r="D105" s="31"/>
      <c r="E105" s="31"/>
      <c r="F105" s="32">
        <f>SUBTOTAL(1,F103:F104)</f>
        <v>7060</v>
      </c>
      <c r="G105" s="33"/>
    </row>
    <row r="106" spans="1:7" outlineLevel="3" x14ac:dyDescent="0.2">
      <c r="A106" s="31" t="s">
        <v>49</v>
      </c>
      <c r="B106" s="31">
        <v>1985</v>
      </c>
      <c r="C106" s="31" t="s">
        <v>76</v>
      </c>
      <c r="D106" s="31" t="s">
        <v>54</v>
      </c>
      <c r="E106" s="31" t="s">
        <v>73</v>
      </c>
      <c r="F106" s="32">
        <v>6260</v>
      </c>
      <c r="G106" s="33">
        <f>F106*25.5</f>
        <v>159630</v>
      </c>
    </row>
    <row r="107" spans="1:7" outlineLevel="3" x14ac:dyDescent="0.2">
      <c r="A107" s="31" t="s">
        <v>49</v>
      </c>
      <c r="B107" s="31">
        <v>1985</v>
      </c>
      <c r="C107" s="31" t="s">
        <v>76</v>
      </c>
      <c r="D107" s="31" t="s">
        <v>54</v>
      </c>
      <c r="E107" s="31" t="s">
        <v>77</v>
      </c>
      <c r="F107" s="32">
        <v>6660</v>
      </c>
      <c r="G107" s="33">
        <f>F107*25.5</f>
        <v>169830</v>
      </c>
    </row>
    <row r="108" spans="1:7" outlineLevel="3" x14ac:dyDescent="0.2">
      <c r="A108" s="31" t="s">
        <v>49</v>
      </c>
      <c r="B108" s="31">
        <v>1985</v>
      </c>
      <c r="C108" s="31" t="s">
        <v>76</v>
      </c>
      <c r="D108" s="31" t="s">
        <v>56</v>
      </c>
      <c r="E108" s="31" t="s">
        <v>77</v>
      </c>
      <c r="F108" s="32">
        <v>6660</v>
      </c>
      <c r="G108" s="33">
        <f>F108*25.5</f>
        <v>169830</v>
      </c>
    </row>
    <row r="109" spans="1:7" outlineLevel="2" x14ac:dyDescent="0.2">
      <c r="A109" s="31"/>
      <c r="B109" s="40" t="s">
        <v>128</v>
      </c>
      <c r="C109" s="31"/>
      <c r="D109" s="31"/>
      <c r="E109" s="31"/>
      <c r="F109" s="32">
        <f>SUBTOTAL(1,F106:F108)</f>
        <v>6526.666666666667</v>
      </c>
      <c r="G109" s="33"/>
    </row>
    <row r="110" spans="1:7" outlineLevel="3" x14ac:dyDescent="0.2">
      <c r="A110" s="31" t="s">
        <v>49</v>
      </c>
      <c r="B110" s="31">
        <v>1986</v>
      </c>
      <c r="C110" s="31" t="s">
        <v>76</v>
      </c>
      <c r="D110" s="31" t="s">
        <v>50</v>
      </c>
      <c r="E110" s="31" t="s">
        <v>75</v>
      </c>
      <c r="F110" s="32">
        <v>6260</v>
      </c>
      <c r="G110" s="33">
        <f>F110*25.5</f>
        <v>159630</v>
      </c>
    </row>
    <row r="111" spans="1:7" outlineLevel="2" x14ac:dyDescent="0.2">
      <c r="A111" s="31"/>
      <c r="B111" s="40" t="s">
        <v>129</v>
      </c>
      <c r="C111" s="31"/>
      <c r="D111" s="31"/>
      <c r="E111" s="31"/>
      <c r="F111" s="32">
        <f>SUBTOTAL(1,F110:F110)</f>
        <v>6260</v>
      </c>
      <c r="G111" s="33"/>
    </row>
    <row r="112" spans="1:7" outlineLevel="3" x14ac:dyDescent="0.2">
      <c r="A112" s="31" t="s">
        <v>49</v>
      </c>
      <c r="B112" s="31">
        <v>1987</v>
      </c>
      <c r="C112" s="31" t="s">
        <v>53</v>
      </c>
      <c r="D112" s="31" t="s">
        <v>54</v>
      </c>
      <c r="E112" s="31" t="s">
        <v>75</v>
      </c>
      <c r="F112" s="32">
        <v>5860</v>
      </c>
      <c r="G112" s="33">
        <f>F112*25.5</f>
        <v>149430</v>
      </c>
    </row>
    <row r="113" spans="1:7" outlineLevel="2" x14ac:dyDescent="0.2">
      <c r="A113" s="31"/>
      <c r="B113" s="40" t="s">
        <v>130</v>
      </c>
      <c r="C113" s="31"/>
      <c r="D113" s="31"/>
      <c r="E113" s="31"/>
      <c r="F113" s="32">
        <f>SUBTOTAL(1,F112:F112)</f>
        <v>5860</v>
      </c>
      <c r="G113" s="33"/>
    </row>
    <row r="114" spans="1:7" outlineLevel="3" x14ac:dyDescent="0.2">
      <c r="A114" s="31" t="s">
        <v>49</v>
      </c>
      <c r="B114" s="31">
        <v>1988</v>
      </c>
      <c r="C114" s="31" t="s">
        <v>58</v>
      </c>
      <c r="D114" s="31" t="s">
        <v>50</v>
      </c>
      <c r="E114" s="31" t="s">
        <v>73</v>
      </c>
      <c r="F114" s="32">
        <v>5460</v>
      </c>
      <c r="G114" s="33">
        <f>F114*25.5</f>
        <v>139230</v>
      </c>
    </row>
    <row r="115" spans="1:7" outlineLevel="2" x14ac:dyDescent="0.2">
      <c r="A115" s="31"/>
      <c r="B115" s="40" t="s">
        <v>131</v>
      </c>
      <c r="C115" s="31"/>
      <c r="D115" s="31"/>
      <c r="E115" s="31"/>
      <c r="F115" s="32">
        <f>SUBTOTAL(1,F114:F114)</f>
        <v>5460</v>
      </c>
      <c r="G115" s="33"/>
    </row>
    <row r="116" spans="1:7" outlineLevel="3" x14ac:dyDescent="0.2">
      <c r="A116" s="31" t="s">
        <v>49</v>
      </c>
      <c r="B116" s="31">
        <v>1989</v>
      </c>
      <c r="C116" s="31" t="s">
        <v>53</v>
      </c>
      <c r="D116" s="31" t="s">
        <v>52</v>
      </c>
      <c r="E116" s="31" t="s">
        <v>74</v>
      </c>
      <c r="F116" s="32">
        <v>5060</v>
      </c>
      <c r="G116" s="33">
        <f>F116*25.5</f>
        <v>129030</v>
      </c>
    </row>
    <row r="117" spans="1:7" outlineLevel="3" x14ac:dyDescent="0.2">
      <c r="A117" s="31" t="s">
        <v>49</v>
      </c>
      <c r="B117" s="31">
        <v>1989</v>
      </c>
      <c r="C117" s="31" t="s">
        <v>53</v>
      </c>
      <c r="D117" s="31" t="s">
        <v>54</v>
      </c>
      <c r="E117" s="31" t="s">
        <v>77</v>
      </c>
      <c r="F117" s="32">
        <v>5060</v>
      </c>
      <c r="G117" s="33">
        <f>F117*25.5</f>
        <v>129030</v>
      </c>
    </row>
    <row r="118" spans="1:7" outlineLevel="2" x14ac:dyDescent="0.2">
      <c r="A118" s="31"/>
      <c r="B118" s="40" t="s">
        <v>132</v>
      </c>
      <c r="C118" s="31"/>
      <c r="D118" s="31"/>
      <c r="E118" s="31"/>
      <c r="F118" s="32">
        <f>SUBTOTAL(1,F116:F117)</f>
        <v>5060</v>
      </c>
      <c r="G118" s="33"/>
    </row>
    <row r="119" spans="1:7" outlineLevel="3" x14ac:dyDescent="0.2">
      <c r="A119" s="31" t="s">
        <v>49</v>
      </c>
      <c r="B119" s="31">
        <v>1990</v>
      </c>
      <c r="C119" s="31" t="s">
        <v>51</v>
      </c>
      <c r="D119" s="31" t="s">
        <v>54</v>
      </c>
      <c r="E119" s="31" t="s">
        <v>73</v>
      </c>
      <c r="F119" s="32">
        <v>2560</v>
      </c>
      <c r="G119" s="33">
        <f>F119*25.5</f>
        <v>65280</v>
      </c>
    </row>
    <row r="120" spans="1:7" outlineLevel="3" x14ac:dyDescent="0.2">
      <c r="A120" s="31" t="s">
        <v>49</v>
      </c>
      <c r="B120" s="31">
        <v>1990</v>
      </c>
      <c r="C120" s="31" t="s">
        <v>51</v>
      </c>
      <c r="D120" s="31" t="s">
        <v>54</v>
      </c>
      <c r="E120" s="31" t="s">
        <v>73</v>
      </c>
      <c r="F120" s="32">
        <v>3360</v>
      </c>
      <c r="G120" s="33">
        <f>F120*25.5</f>
        <v>85680</v>
      </c>
    </row>
    <row r="121" spans="1:7" outlineLevel="3" x14ac:dyDescent="0.2">
      <c r="A121" s="31" t="s">
        <v>49</v>
      </c>
      <c r="B121" s="31">
        <v>1990</v>
      </c>
      <c r="C121" s="31" t="s">
        <v>53</v>
      </c>
      <c r="D121" s="31" t="s">
        <v>52</v>
      </c>
      <c r="E121" s="31" t="s">
        <v>77</v>
      </c>
      <c r="F121" s="32">
        <v>4260</v>
      </c>
      <c r="G121" s="33">
        <f>F121*25.5</f>
        <v>108630</v>
      </c>
    </row>
    <row r="122" spans="1:7" outlineLevel="3" x14ac:dyDescent="0.2">
      <c r="A122" s="31" t="s">
        <v>49</v>
      </c>
      <c r="B122" s="31">
        <v>1990</v>
      </c>
      <c r="C122" s="31" t="s">
        <v>51</v>
      </c>
      <c r="D122" s="31" t="s">
        <v>54</v>
      </c>
      <c r="E122" s="31" t="s">
        <v>75</v>
      </c>
      <c r="F122" s="32">
        <v>4660</v>
      </c>
      <c r="G122" s="33">
        <f>F122*25.5</f>
        <v>118830</v>
      </c>
    </row>
    <row r="123" spans="1:7" outlineLevel="2" x14ac:dyDescent="0.2">
      <c r="A123" s="31"/>
      <c r="B123" s="40" t="s">
        <v>133</v>
      </c>
      <c r="C123" s="31"/>
      <c r="D123" s="31"/>
      <c r="E123" s="31"/>
      <c r="F123" s="32">
        <f>SUBTOTAL(1,F119:F122)</f>
        <v>3710</v>
      </c>
      <c r="G123" s="33"/>
    </row>
    <row r="124" spans="1:7" outlineLevel="3" x14ac:dyDescent="0.2">
      <c r="A124" s="31" t="s">
        <v>49</v>
      </c>
      <c r="B124" s="31">
        <v>1991</v>
      </c>
      <c r="C124" s="31" t="s">
        <v>53</v>
      </c>
      <c r="D124" s="31" t="s">
        <v>50</v>
      </c>
      <c r="E124" s="31" t="s">
        <v>73</v>
      </c>
      <c r="F124" s="32">
        <v>11060</v>
      </c>
      <c r="G124" s="33">
        <f>F124*25.5</f>
        <v>282030</v>
      </c>
    </row>
    <row r="125" spans="1:7" outlineLevel="3" x14ac:dyDescent="0.2">
      <c r="A125" s="31" t="s">
        <v>49</v>
      </c>
      <c r="B125" s="31">
        <v>1991</v>
      </c>
      <c r="C125" s="31" t="s">
        <v>53</v>
      </c>
      <c r="D125" s="31" t="s">
        <v>52</v>
      </c>
      <c r="E125" s="31" t="s">
        <v>73</v>
      </c>
      <c r="F125" s="32">
        <v>11860</v>
      </c>
      <c r="G125" s="33">
        <f>F125*25.5</f>
        <v>302430</v>
      </c>
    </row>
    <row r="126" spans="1:7" outlineLevel="2" x14ac:dyDescent="0.2">
      <c r="A126" s="31"/>
      <c r="B126" s="40" t="s">
        <v>134</v>
      </c>
      <c r="C126" s="31"/>
      <c r="D126" s="31"/>
      <c r="E126" s="31"/>
      <c r="F126" s="32">
        <f>SUBTOTAL(1,F124:F125)</f>
        <v>11460</v>
      </c>
      <c r="G126" s="33"/>
    </row>
    <row r="127" spans="1:7" outlineLevel="3" x14ac:dyDescent="0.2">
      <c r="A127" s="31" t="s">
        <v>49</v>
      </c>
      <c r="B127" s="31">
        <v>1992</v>
      </c>
      <c r="C127" s="31" t="s">
        <v>53</v>
      </c>
      <c r="D127" s="31" t="s">
        <v>54</v>
      </c>
      <c r="E127" s="31" t="s">
        <v>73</v>
      </c>
      <c r="F127" s="32">
        <v>6260</v>
      </c>
      <c r="G127" s="33">
        <f>F127*25.5</f>
        <v>159630</v>
      </c>
    </row>
    <row r="128" spans="1:7" outlineLevel="2" x14ac:dyDescent="0.2">
      <c r="A128" s="31"/>
      <c r="B128" s="40" t="s">
        <v>135</v>
      </c>
      <c r="C128" s="31"/>
      <c r="D128" s="31"/>
      <c r="E128" s="31"/>
      <c r="F128" s="32">
        <f>SUBTOTAL(1,F127:F127)</f>
        <v>6260</v>
      </c>
      <c r="G128" s="33"/>
    </row>
    <row r="129" spans="1:7" outlineLevel="3" x14ac:dyDescent="0.2">
      <c r="A129" s="31" t="s">
        <v>49</v>
      </c>
      <c r="B129" s="31">
        <v>1993</v>
      </c>
      <c r="C129" s="31" t="s">
        <v>53</v>
      </c>
      <c r="D129" s="31" t="s">
        <v>50</v>
      </c>
      <c r="E129" s="31" t="s">
        <v>75</v>
      </c>
      <c r="F129" s="32">
        <v>3460</v>
      </c>
      <c r="G129" s="33">
        <f>F129*25.5</f>
        <v>88230</v>
      </c>
    </row>
    <row r="130" spans="1:7" outlineLevel="2" x14ac:dyDescent="0.2">
      <c r="A130" s="31"/>
      <c r="B130" s="40" t="s">
        <v>136</v>
      </c>
      <c r="C130" s="31"/>
      <c r="D130" s="31"/>
      <c r="E130" s="31"/>
      <c r="F130" s="32">
        <f>SUBTOTAL(1,F129:F129)</f>
        <v>3460</v>
      </c>
      <c r="G130" s="33"/>
    </row>
    <row r="131" spans="1:7" outlineLevel="3" x14ac:dyDescent="0.2">
      <c r="A131" s="31" t="s">
        <v>49</v>
      </c>
      <c r="B131" s="31">
        <v>1994</v>
      </c>
      <c r="C131" s="31" t="s">
        <v>51</v>
      </c>
      <c r="D131" s="31" t="s">
        <v>54</v>
      </c>
      <c r="E131" s="31" t="s">
        <v>73</v>
      </c>
      <c r="F131" s="32">
        <v>3060</v>
      </c>
      <c r="G131" s="33">
        <f>F131*25.5</f>
        <v>78030</v>
      </c>
    </row>
    <row r="132" spans="1:7" outlineLevel="2" x14ac:dyDescent="0.2">
      <c r="A132" s="31"/>
      <c r="B132" s="40" t="s">
        <v>137</v>
      </c>
      <c r="C132" s="31"/>
      <c r="D132" s="31"/>
      <c r="E132" s="31"/>
      <c r="F132" s="32">
        <f>SUBTOTAL(1,F131:F131)</f>
        <v>3060</v>
      </c>
      <c r="G132" s="33"/>
    </row>
    <row r="133" spans="1:7" outlineLevel="3" x14ac:dyDescent="0.2">
      <c r="A133" s="31" t="s">
        <v>49</v>
      </c>
      <c r="B133" s="31">
        <v>1995</v>
      </c>
      <c r="C133" s="31" t="s">
        <v>53</v>
      </c>
      <c r="D133" s="31" t="s">
        <v>54</v>
      </c>
      <c r="E133" s="31" t="s">
        <v>75</v>
      </c>
      <c r="F133" s="32">
        <v>2660</v>
      </c>
      <c r="G133" s="33">
        <f>F133*25.5</f>
        <v>67830</v>
      </c>
    </row>
    <row r="134" spans="1:7" outlineLevel="3" x14ac:dyDescent="0.2">
      <c r="A134" s="31" t="s">
        <v>49</v>
      </c>
      <c r="B134" s="31">
        <v>1995</v>
      </c>
      <c r="C134" s="31" t="s">
        <v>53</v>
      </c>
      <c r="D134" s="31" t="s">
        <v>50</v>
      </c>
      <c r="E134" s="31" t="s">
        <v>73</v>
      </c>
      <c r="F134" s="32">
        <v>2660</v>
      </c>
      <c r="G134" s="33">
        <f>F134*25.5</f>
        <v>67830</v>
      </c>
    </row>
    <row r="135" spans="1:7" outlineLevel="3" x14ac:dyDescent="0.2">
      <c r="A135" s="31" t="s">
        <v>49</v>
      </c>
      <c r="B135" s="31">
        <v>1995</v>
      </c>
      <c r="C135" s="31" t="s">
        <v>53</v>
      </c>
      <c r="D135" s="31" t="s">
        <v>56</v>
      </c>
      <c r="E135" s="31" t="s">
        <v>75</v>
      </c>
      <c r="F135" s="32">
        <v>3460</v>
      </c>
      <c r="G135" s="33">
        <f>F135*25.5</f>
        <v>88230</v>
      </c>
    </row>
    <row r="136" spans="1:7" outlineLevel="3" x14ac:dyDescent="0.2">
      <c r="A136" s="31" t="s">
        <v>49</v>
      </c>
      <c r="B136" s="31">
        <v>1995</v>
      </c>
      <c r="C136" s="31" t="s">
        <v>53</v>
      </c>
      <c r="D136" s="31" t="s">
        <v>54</v>
      </c>
      <c r="E136" s="31" t="s">
        <v>75</v>
      </c>
      <c r="F136" s="32">
        <v>3860</v>
      </c>
      <c r="G136" s="33">
        <f>F136*25.5</f>
        <v>98430</v>
      </c>
    </row>
    <row r="137" spans="1:7" outlineLevel="3" x14ac:dyDescent="0.2">
      <c r="A137" s="31" t="s">
        <v>49</v>
      </c>
      <c r="B137" s="31">
        <v>1995</v>
      </c>
      <c r="C137" s="31" t="s">
        <v>51</v>
      </c>
      <c r="D137" s="31" t="s">
        <v>56</v>
      </c>
      <c r="E137" s="31" t="s">
        <v>73</v>
      </c>
      <c r="F137" s="32">
        <v>5460</v>
      </c>
      <c r="G137" s="33">
        <f>F137*25.5</f>
        <v>139230</v>
      </c>
    </row>
    <row r="138" spans="1:7" outlineLevel="2" x14ac:dyDescent="0.2">
      <c r="A138" s="31"/>
      <c r="B138" s="40" t="s">
        <v>138</v>
      </c>
      <c r="C138" s="31"/>
      <c r="D138" s="31"/>
      <c r="E138" s="31"/>
      <c r="F138" s="32">
        <f>SUBTOTAL(1,F133:F137)</f>
        <v>3620</v>
      </c>
      <c r="G138" s="33"/>
    </row>
    <row r="139" spans="1:7" outlineLevel="1" x14ac:dyDescent="0.2">
      <c r="A139" s="39" t="s">
        <v>121</v>
      </c>
      <c r="B139" s="31"/>
      <c r="C139" s="31"/>
      <c r="D139" s="31"/>
      <c r="E139" s="31"/>
      <c r="F139" s="32"/>
      <c r="G139" s="33">
        <f>SUBTOTAL(9,G95:G137)</f>
        <v>4464540</v>
      </c>
    </row>
    <row r="140" spans="1:7" outlineLevel="3" x14ac:dyDescent="0.2">
      <c r="A140" s="31" t="s">
        <v>59</v>
      </c>
      <c r="B140" s="31">
        <v>1980</v>
      </c>
      <c r="C140" s="31" t="s">
        <v>51</v>
      </c>
      <c r="D140" s="31" t="s">
        <v>52</v>
      </c>
      <c r="E140" s="31" t="s">
        <v>73</v>
      </c>
      <c r="F140" s="32">
        <v>11760</v>
      </c>
      <c r="G140" s="33">
        <f>F140*25.5</f>
        <v>299880</v>
      </c>
    </row>
    <row r="141" spans="1:7" outlineLevel="2" x14ac:dyDescent="0.2">
      <c r="A141" s="31"/>
      <c r="B141" s="40" t="s">
        <v>123</v>
      </c>
      <c r="C141" s="31"/>
      <c r="D141" s="31"/>
      <c r="E141" s="31"/>
      <c r="F141" s="32">
        <f>SUBTOTAL(1,F140:F140)</f>
        <v>11760</v>
      </c>
      <c r="G141" s="33"/>
    </row>
    <row r="142" spans="1:7" outlineLevel="3" x14ac:dyDescent="0.2">
      <c r="A142" s="31" t="s">
        <v>59</v>
      </c>
      <c r="B142" s="31">
        <v>1981</v>
      </c>
      <c r="C142" s="31" t="s">
        <v>53</v>
      </c>
      <c r="D142" s="31" t="s">
        <v>52</v>
      </c>
      <c r="E142" s="31" t="s">
        <v>75</v>
      </c>
      <c r="F142" s="32">
        <v>11360</v>
      </c>
      <c r="G142" s="33">
        <f>F142*25.5</f>
        <v>289680</v>
      </c>
    </row>
    <row r="143" spans="1:7" outlineLevel="2" x14ac:dyDescent="0.2">
      <c r="A143" s="31"/>
      <c r="B143" s="40" t="s">
        <v>124</v>
      </c>
      <c r="C143" s="31"/>
      <c r="D143" s="31"/>
      <c r="E143" s="31"/>
      <c r="F143" s="32">
        <f>SUBTOTAL(1,F142:F142)</f>
        <v>11360</v>
      </c>
      <c r="G143" s="33"/>
    </row>
    <row r="144" spans="1:7" outlineLevel="3" x14ac:dyDescent="0.2">
      <c r="A144" s="31" t="s">
        <v>59</v>
      </c>
      <c r="B144" s="31">
        <v>1982</v>
      </c>
      <c r="C144" s="31" t="s">
        <v>76</v>
      </c>
      <c r="D144" s="31" t="s">
        <v>52</v>
      </c>
      <c r="E144" s="31" t="s">
        <v>75</v>
      </c>
      <c r="F144" s="32">
        <v>10960</v>
      </c>
      <c r="G144" s="33">
        <f>F144*25.5</f>
        <v>279480</v>
      </c>
    </row>
    <row r="145" spans="1:7" outlineLevel="2" x14ac:dyDescent="0.2">
      <c r="A145" s="31"/>
      <c r="B145" s="40" t="s">
        <v>125</v>
      </c>
      <c r="C145" s="31"/>
      <c r="D145" s="31"/>
      <c r="E145" s="31"/>
      <c r="F145" s="32">
        <f>SUBTOTAL(1,F144:F144)</f>
        <v>10960</v>
      </c>
      <c r="G145" s="33"/>
    </row>
    <row r="146" spans="1:7" outlineLevel="3" x14ac:dyDescent="0.2">
      <c r="A146" s="31" t="s">
        <v>59</v>
      </c>
      <c r="B146" s="31">
        <v>1983</v>
      </c>
      <c r="C146" s="31" t="s">
        <v>51</v>
      </c>
      <c r="D146" s="31" t="s">
        <v>54</v>
      </c>
      <c r="E146" s="31" t="s">
        <v>75</v>
      </c>
      <c r="F146" s="32">
        <v>10560</v>
      </c>
      <c r="G146" s="33">
        <f>F146*25.5</f>
        <v>269280</v>
      </c>
    </row>
    <row r="147" spans="1:7" outlineLevel="2" x14ac:dyDescent="0.2">
      <c r="A147" s="31"/>
      <c r="B147" s="40" t="s">
        <v>126</v>
      </c>
      <c r="C147" s="31"/>
      <c r="D147" s="31"/>
      <c r="E147" s="31"/>
      <c r="F147" s="32">
        <f>SUBTOTAL(1,F146:F146)</f>
        <v>10560</v>
      </c>
      <c r="G147" s="33"/>
    </row>
    <row r="148" spans="1:7" outlineLevel="3" x14ac:dyDescent="0.2">
      <c r="A148" s="31" t="s">
        <v>59</v>
      </c>
      <c r="B148" s="31">
        <v>1984</v>
      </c>
      <c r="C148" s="31" t="s">
        <v>58</v>
      </c>
      <c r="D148" s="31" t="s">
        <v>54</v>
      </c>
      <c r="E148" s="31" t="s">
        <v>77</v>
      </c>
      <c r="F148" s="32">
        <v>6560</v>
      </c>
      <c r="G148" s="33">
        <f>F148*25.5</f>
        <v>167280</v>
      </c>
    </row>
    <row r="149" spans="1:7" outlineLevel="3" x14ac:dyDescent="0.2">
      <c r="A149" s="31" t="s">
        <v>59</v>
      </c>
      <c r="B149" s="31">
        <v>1984</v>
      </c>
      <c r="C149" s="31" t="s">
        <v>51</v>
      </c>
      <c r="D149" s="31" t="s">
        <v>52</v>
      </c>
      <c r="E149" s="31" t="s">
        <v>75</v>
      </c>
      <c r="F149" s="32">
        <v>6960</v>
      </c>
      <c r="G149" s="33">
        <f>F149*25.5</f>
        <v>177480</v>
      </c>
    </row>
    <row r="150" spans="1:7" outlineLevel="2" x14ac:dyDescent="0.2">
      <c r="A150" s="31"/>
      <c r="B150" s="40" t="s">
        <v>127</v>
      </c>
      <c r="C150" s="31"/>
      <c r="D150" s="31"/>
      <c r="E150" s="31"/>
      <c r="F150" s="32">
        <f>SUBTOTAL(1,F148:F149)</f>
        <v>6760</v>
      </c>
      <c r="G150" s="33"/>
    </row>
    <row r="151" spans="1:7" outlineLevel="3" x14ac:dyDescent="0.2">
      <c r="A151" s="31" t="s">
        <v>59</v>
      </c>
      <c r="B151" s="31">
        <v>1985</v>
      </c>
      <c r="C151" s="31" t="s">
        <v>53</v>
      </c>
      <c r="D151" s="31" t="s">
        <v>54</v>
      </c>
      <c r="E151" s="31" t="s">
        <v>73</v>
      </c>
      <c r="F151" s="32">
        <v>6160</v>
      </c>
      <c r="G151" s="33">
        <f>F151*25.5</f>
        <v>157080</v>
      </c>
    </row>
    <row r="152" spans="1:7" outlineLevel="3" x14ac:dyDescent="0.2">
      <c r="A152" s="31" t="s">
        <v>59</v>
      </c>
      <c r="B152" s="31">
        <v>1985</v>
      </c>
      <c r="C152" s="31" t="s">
        <v>58</v>
      </c>
      <c r="D152" s="31" t="s">
        <v>52</v>
      </c>
      <c r="E152" s="31" t="s">
        <v>77</v>
      </c>
      <c r="F152" s="32">
        <v>6560</v>
      </c>
      <c r="G152" s="33">
        <f>F152*25.5</f>
        <v>167280</v>
      </c>
    </row>
    <row r="153" spans="1:7" outlineLevel="2" x14ac:dyDescent="0.2">
      <c r="A153" s="31"/>
      <c r="B153" s="40" t="s">
        <v>128</v>
      </c>
      <c r="C153" s="31"/>
      <c r="D153" s="31"/>
      <c r="E153" s="31"/>
      <c r="F153" s="32">
        <f>SUBTOTAL(1,F151:F152)</f>
        <v>6360</v>
      </c>
      <c r="G153" s="33"/>
    </row>
    <row r="154" spans="1:7" outlineLevel="3" x14ac:dyDescent="0.2">
      <c r="A154" s="31" t="s">
        <v>59</v>
      </c>
      <c r="B154" s="31">
        <v>1986</v>
      </c>
      <c r="C154" s="31" t="s">
        <v>53</v>
      </c>
      <c r="D154" s="31" t="s">
        <v>52</v>
      </c>
      <c r="E154" s="31" t="s">
        <v>73</v>
      </c>
      <c r="F154" s="32">
        <v>6160</v>
      </c>
      <c r="G154" s="33">
        <f>F154*25.5</f>
        <v>157080</v>
      </c>
    </row>
    <row r="155" spans="1:7" outlineLevel="2" x14ac:dyDescent="0.2">
      <c r="A155" s="31"/>
      <c r="B155" s="40" t="s">
        <v>129</v>
      </c>
      <c r="C155" s="31"/>
      <c r="D155" s="31"/>
      <c r="E155" s="31"/>
      <c r="F155" s="32">
        <f>SUBTOTAL(1,F154:F154)</f>
        <v>6160</v>
      </c>
      <c r="G155" s="33"/>
    </row>
    <row r="156" spans="1:7" outlineLevel="3" x14ac:dyDescent="0.2">
      <c r="A156" s="31" t="s">
        <v>59</v>
      </c>
      <c r="B156" s="31">
        <v>1987</v>
      </c>
      <c r="C156" s="31" t="s">
        <v>51</v>
      </c>
      <c r="D156" s="31" t="s">
        <v>52</v>
      </c>
      <c r="E156" s="31" t="s">
        <v>77</v>
      </c>
      <c r="F156" s="32">
        <v>5760</v>
      </c>
      <c r="G156" s="33">
        <f>F156*25.5</f>
        <v>146880</v>
      </c>
    </row>
    <row r="157" spans="1:7" outlineLevel="2" x14ac:dyDescent="0.2">
      <c r="A157" s="31"/>
      <c r="B157" s="40" t="s">
        <v>130</v>
      </c>
      <c r="C157" s="31"/>
      <c r="D157" s="31"/>
      <c r="E157" s="31"/>
      <c r="F157" s="32">
        <f>SUBTOTAL(1,F156:F156)</f>
        <v>5760</v>
      </c>
      <c r="G157" s="33"/>
    </row>
    <row r="158" spans="1:7" outlineLevel="3" x14ac:dyDescent="0.2">
      <c r="A158" s="31" t="s">
        <v>59</v>
      </c>
      <c r="B158" s="31">
        <v>1988</v>
      </c>
      <c r="C158" s="31" t="s">
        <v>58</v>
      </c>
      <c r="D158" s="31" t="s">
        <v>52</v>
      </c>
      <c r="E158" s="31" t="s">
        <v>77</v>
      </c>
      <c r="F158" s="32">
        <v>5360</v>
      </c>
      <c r="G158" s="33">
        <f>F158*25.5</f>
        <v>136680</v>
      </c>
    </row>
    <row r="159" spans="1:7" outlineLevel="2" x14ac:dyDescent="0.2">
      <c r="A159" s="31"/>
      <c r="B159" s="40" t="s">
        <v>131</v>
      </c>
      <c r="C159" s="31"/>
      <c r="D159" s="31"/>
      <c r="E159" s="31"/>
      <c r="F159" s="32">
        <f>SUBTOTAL(1,F158:F158)</f>
        <v>5360</v>
      </c>
      <c r="G159" s="33"/>
    </row>
    <row r="160" spans="1:7" outlineLevel="3" x14ac:dyDescent="0.2">
      <c r="A160" s="31" t="s">
        <v>59</v>
      </c>
      <c r="B160" s="31">
        <v>1989</v>
      </c>
      <c r="C160" s="31" t="s">
        <v>76</v>
      </c>
      <c r="D160" s="31" t="s">
        <v>52</v>
      </c>
      <c r="E160" s="31" t="s">
        <v>77</v>
      </c>
      <c r="F160" s="32">
        <v>4960</v>
      </c>
      <c r="G160" s="33">
        <f>F160*25.5</f>
        <v>126480</v>
      </c>
    </row>
    <row r="161" spans="1:7" outlineLevel="3" x14ac:dyDescent="0.2">
      <c r="A161" s="31" t="s">
        <v>59</v>
      </c>
      <c r="B161" s="31">
        <v>1989</v>
      </c>
      <c r="C161" s="31" t="s">
        <v>76</v>
      </c>
      <c r="D161" s="31" t="s">
        <v>52</v>
      </c>
      <c r="E161" s="31" t="s">
        <v>74</v>
      </c>
      <c r="F161" s="32">
        <v>4960</v>
      </c>
      <c r="G161" s="33">
        <f>F161*25.5</f>
        <v>126480</v>
      </c>
    </row>
    <row r="162" spans="1:7" outlineLevel="2" x14ac:dyDescent="0.2">
      <c r="A162" s="31"/>
      <c r="B162" s="40" t="s">
        <v>132</v>
      </c>
      <c r="C162" s="31"/>
      <c r="D162" s="31"/>
      <c r="E162" s="31"/>
      <c r="F162" s="32">
        <f>SUBTOTAL(1,F160:F161)</f>
        <v>4960</v>
      </c>
      <c r="G162" s="33"/>
    </row>
    <row r="163" spans="1:7" outlineLevel="3" x14ac:dyDescent="0.2">
      <c r="A163" s="31" t="s">
        <v>59</v>
      </c>
      <c r="B163" s="31">
        <v>1990</v>
      </c>
      <c r="C163" s="31" t="s">
        <v>51</v>
      </c>
      <c r="D163" s="31" t="s">
        <v>52</v>
      </c>
      <c r="E163" s="31" t="s">
        <v>77</v>
      </c>
      <c r="F163" s="32">
        <v>4160</v>
      </c>
      <c r="G163" s="33">
        <f>F163*25.5</f>
        <v>106080</v>
      </c>
    </row>
    <row r="164" spans="1:7" outlineLevel="3" x14ac:dyDescent="0.2">
      <c r="A164" s="31" t="s">
        <v>59</v>
      </c>
      <c r="B164" s="31">
        <v>1990</v>
      </c>
      <c r="C164" s="31" t="s">
        <v>76</v>
      </c>
      <c r="D164" s="31" t="s">
        <v>52</v>
      </c>
      <c r="E164" s="31" t="s">
        <v>77</v>
      </c>
      <c r="F164" s="32">
        <v>4560</v>
      </c>
      <c r="G164" s="33">
        <f>F164*25.5</f>
        <v>116280</v>
      </c>
    </row>
    <row r="165" spans="1:7" outlineLevel="3" x14ac:dyDescent="0.2">
      <c r="A165" s="31" t="s">
        <v>59</v>
      </c>
      <c r="B165" s="31">
        <v>1990</v>
      </c>
      <c r="C165" s="31" t="s">
        <v>76</v>
      </c>
      <c r="D165" s="31" t="s">
        <v>52</v>
      </c>
      <c r="E165" s="31" t="s">
        <v>74</v>
      </c>
      <c r="F165" s="32">
        <v>4560</v>
      </c>
      <c r="G165" s="33">
        <f>F165*25.5</f>
        <v>116280</v>
      </c>
    </row>
    <row r="166" spans="1:7" outlineLevel="2" x14ac:dyDescent="0.2">
      <c r="A166" s="31"/>
      <c r="B166" s="40" t="s">
        <v>133</v>
      </c>
      <c r="C166" s="31"/>
      <c r="D166" s="31"/>
      <c r="E166" s="31"/>
      <c r="F166" s="32">
        <f>SUBTOTAL(1,F163:F165)</f>
        <v>4426.666666666667</v>
      </c>
      <c r="G166" s="33"/>
    </row>
    <row r="167" spans="1:7" outlineLevel="3" x14ac:dyDescent="0.2">
      <c r="A167" s="31" t="s">
        <v>59</v>
      </c>
      <c r="B167" s="31">
        <v>1991</v>
      </c>
      <c r="C167" s="31" t="s">
        <v>51</v>
      </c>
      <c r="D167" s="31" t="s">
        <v>52</v>
      </c>
      <c r="E167" s="31" t="s">
        <v>77</v>
      </c>
      <c r="F167" s="32">
        <v>4160</v>
      </c>
      <c r="G167" s="33">
        <f>F167*25.5</f>
        <v>106080</v>
      </c>
    </row>
    <row r="168" spans="1:7" outlineLevel="3" x14ac:dyDescent="0.2">
      <c r="A168" s="31" t="s">
        <v>59</v>
      </c>
      <c r="B168" s="31">
        <v>1991</v>
      </c>
      <c r="C168" s="31" t="s">
        <v>51</v>
      </c>
      <c r="D168" s="31" t="s">
        <v>50</v>
      </c>
      <c r="E168" s="31" t="s">
        <v>77</v>
      </c>
      <c r="F168" s="32">
        <v>4160</v>
      </c>
      <c r="G168" s="33">
        <f>F168*25.5</f>
        <v>106080</v>
      </c>
    </row>
    <row r="169" spans="1:7" outlineLevel="2" x14ac:dyDescent="0.2">
      <c r="A169" s="31"/>
      <c r="B169" s="40" t="s">
        <v>134</v>
      </c>
      <c r="C169" s="31"/>
      <c r="D169" s="31"/>
      <c r="E169" s="31"/>
      <c r="F169" s="32">
        <f>SUBTOTAL(1,F167:F168)</f>
        <v>4160</v>
      </c>
      <c r="G169" s="33"/>
    </row>
    <row r="170" spans="1:7" outlineLevel="3" x14ac:dyDescent="0.2">
      <c r="A170" s="31" t="s">
        <v>59</v>
      </c>
      <c r="B170" s="31">
        <v>1992</v>
      </c>
      <c r="C170" s="31" t="s">
        <v>58</v>
      </c>
      <c r="D170" s="31" t="s">
        <v>52</v>
      </c>
      <c r="E170" s="31" t="s">
        <v>77</v>
      </c>
      <c r="F170" s="32">
        <v>3760</v>
      </c>
      <c r="G170" s="33">
        <f>F170*25.5</f>
        <v>95880</v>
      </c>
    </row>
    <row r="171" spans="1:7" outlineLevel="2" x14ac:dyDescent="0.2">
      <c r="A171" s="31"/>
      <c r="B171" s="40" t="s">
        <v>135</v>
      </c>
      <c r="C171" s="31"/>
      <c r="D171" s="31"/>
      <c r="E171" s="31"/>
      <c r="F171" s="32">
        <f>SUBTOTAL(1,F170:F170)</f>
        <v>3760</v>
      </c>
      <c r="G171" s="33"/>
    </row>
    <row r="172" spans="1:7" outlineLevel="3" x14ac:dyDescent="0.2">
      <c r="A172" s="31" t="s">
        <v>59</v>
      </c>
      <c r="B172" s="31">
        <v>1993</v>
      </c>
      <c r="C172" s="31" t="s">
        <v>76</v>
      </c>
      <c r="D172" s="31" t="s">
        <v>56</v>
      </c>
      <c r="E172" s="31" t="s">
        <v>73</v>
      </c>
      <c r="F172" s="32">
        <v>3360</v>
      </c>
      <c r="G172" s="33">
        <f>F172*25.5</f>
        <v>85680</v>
      </c>
    </row>
    <row r="173" spans="1:7" outlineLevel="2" x14ac:dyDescent="0.2">
      <c r="A173" s="31"/>
      <c r="B173" s="40" t="s">
        <v>136</v>
      </c>
      <c r="C173" s="31"/>
      <c r="D173" s="31"/>
      <c r="E173" s="31"/>
      <c r="F173" s="32">
        <f>SUBTOTAL(1,F172:F172)</f>
        <v>3360</v>
      </c>
      <c r="G173" s="33"/>
    </row>
    <row r="174" spans="1:7" outlineLevel="3" x14ac:dyDescent="0.2">
      <c r="A174" s="31" t="s">
        <v>59</v>
      </c>
      <c r="B174" s="31">
        <v>1994</v>
      </c>
      <c r="C174" s="31" t="s">
        <v>76</v>
      </c>
      <c r="D174" s="31" t="s">
        <v>52</v>
      </c>
      <c r="E174" s="31" t="s">
        <v>77</v>
      </c>
      <c r="F174" s="32">
        <v>2960</v>
      </c>
      <c r="G174" s="33">
        <f>F174*25.5</f>
        <v>75480</v>
      </c>
    </row>
    <row r="175" spans="1:7" outlineLevel="2" x14ac:dyDescent="0.2">
      <c r="A175" s="31"/>
      <c r="B175" s="40" t="s">
        <v>137</v>
      </c>
      <c r="C175" s="31"/>
      <c r="D175" s="31"/>
      <c r="E175" s="31"/>
      <c r="F175" s="32">
        <f>SUBTOTAL(1,F174:F174)</f>
        <v>2960</v>
      </c>
      <c r="G175" s="33"/>
    </row>
    <row r="176" spans="1:7" outlineLevel="3" x14ac:dyDescent="0.2">
      <c r="A176" s="31" t="s">
        <v>59</v>
      </c>
      <c r="B176" s="31">
        <v>1995</v>
      </c>
      <c r="C176" s="31" t="s">
        <v>51</v>
      </c>
      <c r="D176" s="31" t="s">
        <v>52</v>
      </c>
      <c r="E176" s="31" t="s">
        <v>73</v>
      </c>
      <c r="F176" s="32">
        <v>2560</v>
      </c>
      <c r="G176" s="33">
        <f>F176*25.5</f>
        <v>65280</v>
      </c>
    </row>
    <row r="177" spans="1:7" outlineLevel="3" x14ac:dyDescent="0.2">
      <c r="A177" s="31" t="s">
        <v>59</v>
      </c>
      <c r="B177" s="31">
        <v>1995</v>
      </c>
      <c r="C177" s="31" t="s">
        <v>51</v>
      </c>
      <c r="D177" s="31" t="s">
        <v>50</v>
      </c>
      <c r="E177" s="31" t="s">
        <v>74</v>
      </c>
      <c r="F177" s="32">
        <v>2560</v>
      </c>
      <c r="G177" s="33">
        <f>F177*25.5</f>
        <v>65280</v>
      </c>
    </row>
    <row r="178" spans="1:7" outlineLevel="3" x14ac:dyDescent="0.2">
      <c r="A178" s="31" t="s">
        <v>59</v>
      </c>
      <c r="B178" s="31">
        <v>1995</v>
      </c>
      <c r="C178" s="31" t="s">
        <v>76</v>
      </c>
      <c r="D178" s="31" t="s">
        <v>56</v>
      </c>
      <c r="E178" s="31" t="s">
        <v>75</v>
      </c>
      <c r="F178" s="32">
        <v>2960</v>
      </c>
      <c r="G178" s="33">
        <f>F178*25.5</f>
        <v>75480</v>
      </c>
    </row>
    <row r="179" spans="1:7" outlineLevel="3" x14ac:dyDescent="0.2">
      <c r="A179" s="31" t="s">
        <v>59</v>
      </c>
      <c r="B179" s="31">
        <v>1995</v>
      </c>
      <c r="C179" s="31" t="s">
        <v>76</v>
      </c>
      <c r="D179" s="31" t="s">
        <v>56</v>
      </c>
      <c r="E179" s="31" t="s">
        <v>75</v>
      </c>
      <c r="F179" s="32">
        <v>3360</v>
      </c>
      <c r="G179" s="33">
        <f>F179*25.5</f>
        <v>85680</v>
      </c>
    </row>
    <row r="180" spans="1:7" outlineLevel="3" x14ac:dyDescent="0.2">
      <c r="A180" s="31" t="s">
        <v>59</v>
      </c>
      <c r="B180" s="31">
        <v>1995</v>
      </c>
      <c r="C180" s="31" t="s">
        <v>58</v>
      </c>
      <c r="D180" s="31" t="s">
        <v>52</v>
      </c>
      <c r="E180" s="31" t="s">
        <v>73</v>
      </c>
      <c r="F180" s="32">
        <v>3760</v>
      </c>
      <c r="G180" s="33">
        <f>F180*25.5</f>
        <v>95880</v>
      </c>
    </row>
    <row r="181" spans="1:7" outlineLevel="2" x14ac:dyDescent="0.2">
      <c r="A181" s="31"/>
      <c r="B181" s="40" t="s">
        <v>138</v>
      </c>
      <c r="C181" s="31"/>
      <c r="D181" s="31"/>
      <c r="E181" s="31"/>
      <c r="F181" s="32">
        <f>SUBTOTAL(1,F176:F180)</f>
        <v>3040</v>
      </c>
      <c r="G181" s="33"/>
    </row>
    <row r="182" spans="1:7" outlineLevel="1" x14ac:dyDescent="0.2">
      <c r="A182" s="39" t="s">
        <v>122</v>
      </c>
      <c r="B182" s="31"/>
      <c r="C182" s="31"/>
      <c r="D182" s="31"/>
      <c r="E182" s="31"/>
      <c r="F182" s="32"/>
      <c r="G182" s="33">
        <f>SUBTOTAL(9,G140:G180)</f>
        <v>3696480</v>
      </c>
    </row>
    <row r="183" spans="1:7" x14ac:dyDescent="0.2">
      <c r="A183" s="39"/>
      <c r="B183" s="40" t="s">
        <v>108</v>
      </c>
      <c r="C183" s="31"/>
      <c r="D183" s="31"/>
      <c r="E183" s="31"/>
      <c r="F183" s="32">
        <f>SUBTOTAL(1,F7:F180)</f>
        <v>5997.0370370370374</v>
      </c>
      <c r="G183" s="33"/>
    </row>
    <row r="184" spans="1:7" x14ac:dyDescent="0.2">
      <c r="A184" s="39" t="s">
        <v>78</v>
      </c>
      <c r="B184" s="31"/>
      <c r="C184" s="31"/>
      <c r="D184" s="31"/>
      <c r="E184" s="31"/>
      <c r="F184" s="32"/>
      <c r="G184" s="33">
        <f>SUBTOTAL(9,G7:G180)</f>
        <v>16515840</v>
      </c>
    </row>
  </sheetData>
  <sortState xmlns:xlrd2="http://schemas.microsoft.com/office/spreadsheetml/2017/richdata2" ref="A7:G180">
    <sortCondition ref="A7:A180"/>
    <sortCondition ref="B7:B180"/>
  </sortState>
  <phoneticPr fontId="0" type="noConversion"/>
  <pageMargins left="0.7" right="0.7" top="0.78740157499999996" bottom="0.78740157499999996" header="0.3" footer="0.3"/>
  <pageSetup paperSize="9" orientation="portrait" r:id="rId1"/>
  <rowBreaks count="67" manualBreakCount="67">
    <brk id="8" max="16383" man="1"/>
    <brk id="10" max="16383" man="1"/>
    <brk id="12" max="16383" man="1"/>
    <brk id="14" max="16383" man="1"/>
    <brk id="18" max="16383" man="1"/>
    <brk id="21" max="16383" man="1"/>
    <brk id="23" max="16383" man="1"/>
    <brk id="25" max="16383" man="1"/>
    <brk id="27" max="16383" man="1"/>
    <brk id="30" max="16383" man="1"/>
    <brk id="33" max="16383" man="1"/>
    <brk id="35" max="16383" man="1"/>
    <brk id="38" max="16383" man="1"/>
    <brk id="41" max="16383" man="1"/>
    <brk id="43" max="16383" man="1"/>
    <brk id="48" max="16383" man="1"/>
    <brk id="49" max="16383" man="1"/>
    <brk id="51" max="16383" man="1"/>
    <brk id="53" max="16383" man="1"/>
    <brk id="55" max="16383" man="1"/>
    <brk id="57" max="16383" man="1"/>
    <brk id="60" max="16383" man="1"/>
    <brk id="64" max="16383" man="1"/>
    <brk id="66" max="16383" man="1"/>
    <brk id="68" max="16383" man="1"/>
    <brk id="70" max="16383" man="1"/>
    <brk id="73" max="16383" man="1"/>
    <brk id="77" max="16383" man="1"/>
    <brk id="80" max="16383" man="1"/>
    <brk id="83" max="16383" man="1"/>
    <brk id="85" max="16383" man="1"/>
    <brk id="87" max="16383" man="1"/>
    <brk id="93" max="16383" man="1"/>
    <brk id="94" max="16383" man="1"/>
    <brk id="96" max="16383" man="1"/>
    <brk id="98" max="16383" man="1"/>
    <brk id="100" max="16383" man="1"/>
    <brk id="102" max="16383" man="1"/>
    <brk id="105" max="16383" man="1"/>
    <brk id="109" max="16383" man="1"/>
    <brk id="111" max="16383" man="1"/>
    <brk id="113" max="16383" man="1"/>
    <brk id="115" max="16383" man="1"/>
    <brk id="118" max="16383" man="1"/>
    <brk id="123" max="16383" man="1"/>
    <brk id="126" max="16383" man="1"/>
    <brk id="128" max="16383" man="1"/>
    <brk id="130" max="16383" man="1"/>
    <brk id="132" max="16383" man="1"/>
    <brk id="138" max="16383" man="1"/>
    <brk id="139" max="16383" man="1"/>
    <brk id="141" max="16383" man="1"/>
    <brk id="143" max="16383" man="1"/>
    <brk id="145" max="16383" man="1"/>
    <brk id="147" max="16383" man="1"/>
    <brk id="150" max="16383" man="1"/>
    <brk id="153" max="16383" man="1"/>
    <brk id="155" max="16383" man="1"/>
    <brk id="157" max="16383" man="1"/>
    <brk id="159" max="16383" man="1"/>
    <brk id="162" max="16383" man="1"/>
    <brk id="166" max="16383" man="1"/>
    <brk id="169" max="16383" man="1"/>
    <brk id="171" max="16383" man="1"/>
    <brk id="173" max="16383" man="1"/>
    <brk id="175" max="16383" man="1"/>
    <brk id="184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9"/>
  <sheetViews>
    <sheetView workbookViewId="0">
      <selection activeCell="F99" sqref="F99"/>
    </sheetView>
  </sheetViews>
  <sheetFormatPr defaultColWidth="9.28515625" defaultRowHeight="12.75" outlineLevelRow="1" outlineLevelCol="1" x14ac:dyDescent="0.2"/>
  <cols>
    <col min="1" max="1" width="9.28515625" style="22" customWidth="1"/>
    <col min="2" max="2" width="22.28515625" style="22" customWidth="1"/>
    <col min="3" max="3" width="10.7109375" style="22" customWidth="1"/>
    <col min="4" max="4" width="32.7109375" style="22" customWidth="1" outlineLevel="1"/>
    <col min="5" max="5" width="24.5703125" style="22" customWidth="1" outlineLevel="1"/>
    <col min="6" max="6" width="25.7109375" style="22" customWidth="1" outlineLevel="1"/>
    <col min="7" max="16384" width="9.28515625" style="22"/>
  </cols>
  <sheetData>
    <row r="1" spans="1:6" ht="18" x14ac:dyDescent="0.2">
      <c r="A1" s="16" t="s">
        <v>20</v>
      </c>
    </row>
    <row r="2" spans="1:6" ht="18" x14ac:dyDescent="0.25">
      <c r="A2" s="23"/>
    </row>
    <row r="4" spans="1:6" ht="18" x14ac:dyDescent="0.25">
      <c r="A4" s="24" t="s">
        <v>23</v>
      </c>
      <c r="B4" s="24" t="s">
        <v>24</v>
      </c>
      <c r="C4" s="25" t="s">
        <v>17</v>
      </c>
      <c r="D4" s="24" t="s">
        <v>25</v>
      </c>
      <c r="E4" s="24" t="s">
        <v>26</v>
      </c>
      <c r="F4" s="24" t="s">
        <v>27</v>
      </c>
    </row>
    <row r="5" spans="1:6" x14ac:dyDescent="0.2">
      <c r="A5" s="22" t="s">
        <v>42</v>
      </c>
      <c r="B5" s="22">
        <v>6</v>
      </c>
      <c r="C5" s="26" t="s">
        <v>29</v>
      </c>
      <c r="D5" s="22">
        <v>1248</v>
      </c>
      <c r="E5" s="22">
        <v>83498</v>
      </c>
      <c r="F5" s="22">
        <v>80521</v>
      </c>
    </row>
    <row r="6" spans="1:6" hidden="1" outlineLevel="1" x14ac:dyDescent="0.2">
      <c r="A6" s="22" t="s">
        <v>42</v>
      </c>
      <c r="B6" s="22">
        <v>7</v>
      </c>
      <c r="C6" s="26" t="s">
        <v>29</v>
      </c>
      <c r="D6" s="22">
        <v>1324</v>
      </c>
      <c r="E6" s="22">
        <v>73809</v>
      </c>
      <c r="F6" s="22">
        <v>71344</v>
      </c>
    </row>
    <row r="7" spans="1:6" hidden="1" outlineLevel="1" x14ac:dyDescent="0.2">
      <c r="A7" s="22" t="s">
        <v>42</v>
      </c>
      <c r="B7" s="22">
        <v>6</v>
      </c>
      <c r="C7" s="26" t="s">
        <v>30</v>
      </c>
      <c r="D7" s="22">
        <v>1618</v>
      </c>
      <c r="E7" s="22">
        <v>108673</v>
      </c>
      <c r="F7" s="22">
        <v>105890</v>
      </c>
    </row>
    <row r="8" spans="1:6" hidden="1" outlineLevel="1" x14ac:dyDescent="0.2">
      <c r="A8" s="22" t="s">
        <v>42</v>
      </c>
      <c r="B8" s="22">
        <v>7</v>
      </c>
      <c r="C8" s="26" t="s">
        <v>30</v>
      </c>
      <c r="D8" s="22">
        <v>1448</v>
      </c>
      <c r="E8" s="22">
        <v>70371</v>
      </c>
      <c r="F8" s="22">
        <v>60340</v>
      </c>
    </row>
    <row r="9" spans="1:6" hidden="1" outlineLevel="1" x14ac:dyDescent="0.2">
      <c r="A9" s="22" t="s">
        <v>42</v>
      </c>
      <c r="B9" s="22">
        <v>6</v>
      </c>
      <c r="C9" s="26" t="s">
        <v>31</v>
      </c>
      <c r="D9" s="22">
        <v>1398</v>
      </c>
      <c r="E9" s="22">
        <v>60166</v>
      </c>
      <c r="F9" s="22">
        <v>87484</v>
      </c>
    </row>
    <row r="10" spans="1:6" hidden="1" outlineLevel="1" x14ac:dyDescent="0.2">
      <c r="A10" s="22" t="s">
        <v>42</v>
      </c>
      <c r="B10" s="22">
        <v>7</v>
      </c>
      <c r="C10" s="26" t="s">
        <v>31</v>
      </c>
      <c r="D10" s="22">
        <v>1046</v>
      </c>
      <c r="E10" s="22">
        <v>79759</v>
      </c>
      <c r="F10" s="22">
        <v>118836</v>
      </c>
    </row>
    <row r="11" spans="1:6" hidden="1" outlineLevel="1" x14ac:dyDescent="0.2">
      <c r="A11" s="22" t="s">
        <v>42</v>
      </c>
      <c r="B11" s="22">
        <v>6</v>
      </c>
      <c r="C11" s="26" t="s">
        <v>32</v>
      </c>
      <c r="D11" s="22">
        <v>1150</v>
      </c>
      <c r="E11" s="22">
        <v>106121</v>
      </c>
      <c r="F11" s="22">
        <v>65247</v>
      </c>
    </row>
    <row r="12" spans="1:6" hidden="1" outlineLevel="1" x14ac:dyDescent="0.2">
      <c r="A12" s="22" t="s">
        <v>42</v>
      </c>
      <c r="B12" s="22">
        <v>7</v>
      </c>
      <c r="C12" s="26" t="s">
        <v>32</v>
      </c>
      <c r="D12" s="22">
        <v>1450</v>
      </c>
      <c r="E12" s="22">
        <v>53484</v>
      </c>
      <c r="F12" s="22">
        <v>83156</v>
      </c>
    </row>
    <row r="13" spans="1:6" hidden="1" outlineLevel="1" x14ac:dyDescent="0.2">
      <c r="A13" s="22" t="s">
        <v>42</v>
      </c>
      <c r="B13" s="22">
        <v>6</v>
      </c>
      <c r="C13" s="26" t="s">
        <v>33</v>
      </c>
      <c r="D13" s="22">
        <v>1575</v>
      </c>
      <c r="E13" s="22">
        <v>53434</v>
      </c>
      <c r="F13" s="22">
        <v>111230</v>
      </c>
    </row>
    <row r="14" spans="1:6" hidden="1" outlineLevel="1" x14ac:dyDescent="0.2">
      <c r="A14" s="22" t="s">
        <v>42</v>
      </c>
      <c r="B14" s="22">
        <v>7</v>
      </c>
      <c r="C14" s="26" t="s">
        <v>33</v>
      </c>
      <c r="D14" s="22">
        <v>1646</v>
      </c>
      <c r="E14" s="22">
        <v>69733</v>
      </c>
      <c r="F14" s="22">
        <v>62561</v>
      </c>
    </row>
    <row r="15" spans="1:6" hidden="1" outlineLevel="1" x14ac:dyDescent="0.2">
      <c r="A15" s="22" t="s">
        <v>42</v>
      </c>
      <c r="B15" s="22">
        <v>6</v>
      </c>
      <c r="C15" s="26" t="s">
        <v>34</v>
      </c>
      <c r="D15" s="22">
        <v>1579</v>
      </c>
      <c r="E15" s="22">
        <v>78420</v>
      </c>
      <c r="F15" s="22">
        <v>94071</v>
      </c>
    </row>
    <row r="16" spans="1:6" hidden="1" outlineLevel="1" x14ac:dyDescent="0.2">
      <c r="A16" s="22" t="s">
        <v>42</v>
      </c>
      <c r="B16" s="22">
        <v>7</v>
      </c>
      <c r="C16" s="26" t="s">
        <v>34</v>
      </c>
      <c r="D16" s="22">
        <v>1339</v>
      </c>
      <c r="E16" s="22">
        <v>112383</v>
      </c>
      <c r="F16" s="22">
        <v>92289</v>
      </c>
    </row>
    <row r="17" spans="1:6" hidden="1" outlineLevel="1" x14ac:dyDescent="0.2">
      <c r="A17" s="22" t="s">
        <v>42</v>
      </c>
      <c r="B17" s="22">
        <v>6</v>
      </c>
      <c r="C17" s="26" t="s">
        <v>35</v>
      </c>
      <c r="D17" s="22">
        <v>1251</v>
      </c>
      <c r="E17" s="22">
        <v>93541</v>
      </c>
      <c r="F17" s="22">
        <v>99979</v>
      </c>
    </row>
    <row r="18" spans="1:6" hidden="1" outlineLevel="1" x14ac:dyDescent="0.2">
      <c r="A18" s="22" t="s">
        <v>42</v>
      </c>
      <c r="B18" s="22">
        <v>7</v>
      </c>
      <c r="C18" s="26" t="s">
        <v>35</v>
      </c>
      <c r="D18" s="22">
        <v>1941</v>
      </c>
      <c r="E18" s="22">
        <v>115222</v>
      </c>
      <c r="F18" s="22">
        <v>104261</v>
      </c>
    </row>
    <row r="19" spans="1:6" hidden="1" outlineLevel="1" x14ac:dyDescent="0.2">
      <c r="A19" s="22" t="s">
        <v>42</v>
      </c>
      <c r="B19" s="22">
        <v>6</v>
      </c>
      <c r="C19" s="26" t="s">
        <v>36</v>
      </c>
      <c r="D19" s="22">
        <v>1320</v>
      </c>
      <c r="E19" s="22">
        <v>106918</v>
      </c>
      <c r="F19" s="22">
        <v>101907</v>
      </c>
    </row>
    <row r="20" spans="1:6" hidden="1" outlineLevel="1" x14ac:dyDescent="0.2">
      <c r="A20" s="22" t="s">
        <v>42</v>
      </c>
      <c r="B20" s="22">
        <v>7</v>
      </c>
      <c r="C20" s="26" t="s">
        <v>36</v>
      </c>
      <c r="D20" s="22">
        <v>1941</v>
      </c>
      <c r="E20" s="22">
        <v>56725</v>
      </c>
      <c r="F20" s="22">
        <v>63415</v>
      </c>
    </row>
    <row r="21" spans="1:6" hidden="1" outlineLevel="1" x14ac:dyDescent="0.2">
      <c r="A21" s="22" t="s">
        <v>42</v>
      </c>
      <c r="B21" s="22">
        <v>6</v>
      </c>
      <c r="C21" s="26" t="s">
        <v>37</v>
      </c>
      <c r="D21" s="22">
        <v>1845</v>
      </c>
      <c r="E21" s="22">
        <v>99240</v>
      </c>
      <c r="F21" s="22">
        <v>79087</v>
      </c>
    </row>
    <row r="22" spans="1:6" hidden="1" outlineLevel="1" x14ac:dyDescent="0.2">
      <c r="A22" s="22" t="s">
        <v>42</v>
      </c>
      <c r="B22" s="22">
        <v>7</v>
      </c>
      <c r="C22" s="26" t="s">
        <v>37</v>
      </c>
      <c r="D22" s="22">
        <v>1207</v>
      </c>
      <c r="E22" s="22">
        <v>108741</v>
      </c>
      <c r="F22" s="22">
        <v>91656</v>
      </c>
    </row>
    <row r="23" spans="1:6" hidden="1" outlineLevel="1" x14ac:dyDescent="0.2">
      <c r="A23" s="22" t="s">
        <v>42</v>
      </c>
      <c r="B23" s="22">
        <v>6</v>
      </c>
      <c r="C23" s="26" t="s">
        <v>38</v>
      </c>
      <c r="D23" s="22">
        <v>1417</v>
      </c>
      <c r="E23" s="22">
        <v>54017</v>
      </c>
      <c r="F23" s="22">
        <v>59232</v>
      </c>
    </row>
    <row r="24" spans="1:6" hidden="1" outlineLevel="1" x14ac:dyDescent="0.2">
      <c r="A24" s="22" t="s">
        <v>42</v>
      </c>
      <c r="B24" s="22">
        <v>7</v>
      </c>
      <c r="C24" s="26" t="s">
        <v>38</v>
      </c>
      <c r="D24" s="22">
        <v>1294</v>
      </c>
      <c r="E24" s="22">
        <v>50934</v>
      </c>
      <c r="F24" s="22">
        <v>51435</v>
      </c>
    </row>
    <row r="25" spans="1:6" hidden="1" outlineLevel="1" x14ac:dyDescent="0.2">
      <c r="A25" s="22" t="s">
        <v>42</v>
      </c>
      <c r="B25" s="22">
        <v>6</v>
      </c>
      <c r="C25" s="26" t="s">
        <v>39</v>
      </c>
      <c r="D25" s="22">
        <v>1704</v>
      </c>
      <c r="E25" s="22">
        <v>105893</v>
      </c>
      <c r="F25" s="22">
        <v>78452</v>
      </c>
    </row>
    <row r="26" spans="1:6" hidden="1" outlineLevel="1" x14ac:dyDescent="0.2">
      <c r="A26" s="22" t="s">
        <v>42</v>
      </c>
      <c r="B26" s="22">
        <v>7</v>
      </c>
      <c r="C26" s="26" t="s">
        <v>39</v>
      </c>
      <c r="D26" s="22">
        <v>1393</v>
      </c>
      <c r="E26" s="22">
        <v>103925</v>
      </c>
      <c r="F26" s="22">
        <v>51492</v>
      </c>
    </row>
    <row r="27" spans="1:6" hidden="1" outlineLevel="1" x14ac:dyDescent="0.2">
      <c r="A27" s="22" t="s">
        <v>42</v>
      </c>
      <c r="B27" s="22">
        <v>6</v>
      </c>
      <c r="C27" s="26" t="s">
        <v>40</v>
      </c>
      <c r="D27" s="22">
        <v>1992</v>
      </c>
      <c r="E27" s="22">
        <v>110301</v>
      </c>
      <c r="F27" s="22">
        <v>98539</v>
      </c>
    </row>
    <row r="28" spans="1:6" hidden="1" outlineLevel="1" x14ac:dyDescent="0.2">
      <c r="A28" s="22" t="s">
        <v>42</v>
      </c>
      <c r="B28" s="22">
        <v>7</v>
      </c>
      <c r="C28" s="26" t="s">
        <v>40</v>
      </c>
      <c r="D28" s="22">
        <v>1902</v>
      </c>
      <c r="E28" s="22">
        <v>75885</v>
      </c>
      <c r="F28" s="22">
        <v>101270</v>
      </c>
    </row>
    <row r="29" spans="1:6" collapsed="1" x14ac:dyDescent="0.2">
      <c r="A29" s="22" t="s">
        <v>41</v>
      </c>
      <c r="B29" s="22">
        <v>4</v>
      </c>
      <c r="C29" s="26" t="s">
        <v>29</v>
      </c>
      <c r="D29" s="22">
        <v>1768</v>
      </c>
      <c r="E29" s="22">
        <v>53649</v>
      </c>
      <c r="F29" s="22">
        <v>113846</v>
      </c>
    </row>
    <row r="30" spans="1:6" hidden="1" outlineLevel="1" x14ac:dyDescent="0.2">
      <c r="A30" s="22" t="s">
        <v>41</v>
      </c>
      <c r="B30" s="22">
        <v>5</v>
      </c>
      <c r="C30" s="26" t="s">
        <v>29</v>
      </c>
      <c r="D30" s="22">
        <v>1343</v>
      </c>
      <c r="E30" s="22">
        <v>55198</v>
      </c>
      <c r="F30" s="22">
        <v>81086</v>
      </c>
    </row>
    <row r="31" spans="1:6" hidden="1" outlineLevel="1" x14ac:dyDescent="0.2">
      <c r="A31" s="22" t="s">
        <v>41</v>
      </c>
      <c r="B31" s="22">
        <v>4</v>
      </c>
      <c r="C31" s="26" t="s">
        <v>30</v>
      </c>
      <c r="D31" s="22">
        <v>1373</v>
      </c>
      <c r="E31" s="22">
        <v>78412</v>
      </c>
      <c r="F31" s="22">
        <v>72075</v>
      </c>
    </row>
    <row r="32" spans="1:6" hidden="1" outlineLevel="1" x14ac:dyDescent="0.2">
      <c r="A32" s="22" t="s">
        <v>41</v>
      </c>
      <c r="B32" s="22">
        <v>5</v>
      </c>
      <c r="C32" s="26" t="s">
        <v>30</v>
      </c>
      <c r="D32" s="22">
        <v>1378</v>
      </c>
      <c r="E32" s="22">
        <v>52412</v>
      </c>
      <c r="F32" s="22">
        <v>109609</v>
      </c>
    </row>
    <row r="33" spans="1:6" hidden="1" outlineLevel="1" x14ac:dyDescent="0.2">
      <c r="A33" s="22" t="s">
        <v>41</v>
      </c>
      <c r="B33" s="22">
        <v>4</v>
      </c>
      <c r="C33" s="26" t="s">
        <v>31</v>
      </c>
      <c r="D33" s="22">
        <v>1862</v>
      </c>
      <c r="E33" s="22">
        <v>73981</v>
      </c>
      <c r="F33" s="22">
        <v>109810</v>
      </c>
    </row>
    <row r="34" spans="1:6" hidden="1" outlineLevel="1" x14ac:dyDescent="0.2">
      <c r="A34" s="22" t="s">
        <v>41</v>
      </c>
      <c r="B34" s="22">
        <v>5</v>
      </c>
      <c r="C34" s="26" t="s">
        <v>31</v>
      </c>
      <c r="D34" s="22">
        <v>1185</v>
      </c>
      <c r="E34" s="22">
        <v>87814</v>
      </c>
      <c r="F34" s="22">
        <v>65384</v>
      </c>
    </row>
    <row r="35" spans="1:6" hidden="1" outlineLevel="1" x14ac:dyDescent="0.2">
      <c r="A35" s="22" t="s">
        <v>41</v>
      </c>
      <c r="B35" s="22">
        <v>4</v>
      </c>
      <c r="C35" s="26" t="s">
        <v>32</v>
      </c>
      <c r="D35" s="22">
        <v>1568</v>
      </c>
      <c r="E35" s="22">
        <v>118068</v>
      </c>
      <c r="F35" s="22">
        <v>68069</v>
      </c>
    </row>
    <row r="36" spans="1:6" hidden="1" outlineLevel="1" x14ac:dyDescent="0.2">
      <c r="A36" s="22" t="s">
        <v>41</v>
      </c>
      <c r="B36" s="22">
        <v>5</v>
      </c>
      <c r="C36" s="26" t="s">
        <v>32</v>
      </c>
      <c r="D36" s="22">
        <v>1405</v>
      </c>
      <c r="E36" s="22">
        <v>50996</v>
      </c>
      <c r="F36" s="22">
        <v>71333</v>
      </c>
    </row>
    <row r="37" spans="1:6" hidden="1" outlineLevel="1" x14ac:dyDescent="0.2">
      <c r="A37" s="22" t="s">
        <v>41</v>
      </c>
      <c r="B37" s="22">
        <v>4</v>
      </c>
      <c r="C37" s="26" t="s">
        <v>33</v>
      </c>
      <c r="D37" s="22">
        <v>1021</v>
      </c>
      <c r="E37" s="22">
        <v>105555</v>
      </c>
      <c r="F37" s="22">
        <v>89645</v>
      </c>
    </row>
    <row r="38" spans="1:6" hidden="1" outlineLevel="1" x14ac:dyDescent="0.2">
      <c r="A38" s="22" t="s">
        <v>41</v>
      </c>
      <c r="B38" s="22">
        <v>5</v>
      </c>
      <c r="C38" s="26" t="s">
        <v>33</v>
      </c>
      <c r="D38" s="22">
        <v>1421</v>
      </c>
      <c r="E38" s="22">
        <v>110467</v>
      </c>
      <c r="F38" s="22">
        <v>111096</v>
      </c>
    </row>
    <row r="39" spans="1:6" hidden="1" outlineLevel="1" x14ac:dyDescent="0.2">
      <c r="A39" s="22" t="s">
        <v>41</v>
      </c>
      <c r="B39" s="22">
        <v>4</v>
      </c>
      <c r="C39" s="26" t="s">
        <v>34</v>
      </c>
      <c r="D39" s="22">
        <v>1569</v>
      </c>
      <c r="E39" s="22">
        <v>61370</v>
      </c>
      <c r="F39" s="22">
        <v>54113</v>
      </c>
    </row>
    <row r="40" spans="1:6" hidden="1" outlineLevel="1" x14ac:dyDescent="0.2">
      <c r="A40" s="22" t="s">
        <v>41</v>
      </c>
      <c r="B40" s="22">
        <v>5</v>
      </c>
      <c r="C40" s="26" t="s">
        <v>34</v>
      </c>
      <c r="D40" s="22">
        <v>1433</v>
      </c>
      <c r="E40" s="22">
        <v>59665</v>
      </c>
      <c r="F40" s="22">
        <v>76638</v>
      </c>
    </row>
    <row r="41" spans="1:6" hidden="1" outlineLevel="1" x14ac:dyDescent="0.2">
      <c r="A41" s="22" t="s">
        <v>41</v>
      </c>
      <c r="B41" s="22">
        <v>4</v>
      </c>
      <c r="C41" s="26" t="s">
        <v>35</v>
      </c>
      <c r="D41" s="22">
        <v>1827</v>
      </c>
      <c r="E41" s="22">
        <v>80461</v>
      </c>
      <c r="F41" s="22">
        <v>56002</v>
      </c>
    </row>
    <row r="42" spans="1:6" hidden="1" outlineLevel="1" x14ac:dyDescent="0.2">
      <c r="A42" s="22" t="s">
        <v>41</v>
      </c>
      <c r="B42" s="22">
        <v>5</v>
      </c>
      <c r="C42" s="26" t="s">
        <v>35</v>
      </c>
      <c r="D42" s="22">
        <v>1581</v>
      </c>
      <c r="E42" s="22">
        <v>51425</v>
      </c>
      <c r="F42" s="22">
        <v>119529</v>
      </c>
    </row>
    <row r="43" spans="1:6" hidden="1" outlineLevel="1" x14ac:dyDescent="0.2">
      <c r="A43" s="22" t="s">
        <v>41</v>
      </c>
      <c r="B43" s="22">
        <v>4</v>
      </c>
      <c r="C43" s="26" t="s">
        <v>36</v>
      </c>
      <c r="D43" s="22">
        <v>1710</v>
      </c>
      <c r="E43" s="22">
        <v>108176</v>
      </c>
      <c r="F43" s="22">
        <v>109256</v>
      </c>
    </row>
    <row r="44" spans="1:6" hidden="1" outlineLevel="1" x14ac:dyDescent="0.2">
      <c r="A44" s="22" t="s">
        <v>41</v>
      </c>
      <c r="B44" s="22">
        <v>5</v>
      </c>
      <c r="C44" s="26" t="s">
        <v>36</v>
      </c>
      <c r="D44" s="22">
        <v>1904</v>
      </c>
      <c r="E44" s="22">
        <v>88898</v>
      </c>
      <c r="F44" s="22">
        <v>88610</v>
      </c>
    </row>
    <row r="45" spans="1:6" hidden="1" outlineLevel="1" x14ac:dyDescent="0.2">
      <c r="A45" s="22" t="s">
        <v>41</v>
      </c>
      <c r="B45" s="22">
        <v>4</v>
      </c>
      <c r="C45" s="26" t="s">
        <v>37</v>
      </c>
      <c r="D45" s="22">
        <v>1142</v>
      </c>
      <c r="E45" s="22">
        <v>53505</v>
      </c>
      <c r="F45" s="22">
        <v>88861</v>
      </c>
    </row>
    <row r="46" spans="1:6" hidden="1" outlineLevel="1" x14ac:dyDescent="0.2">
      <c r="A46" s="22" t="s">
        <v>41</v>
      </c>
      <c r="B46" s="22">
        <v>5</v>
      </c>
      <c r="C46" s="26" t="s">
        <v>37</v>
      </c>
      <c r="D46" s="22">
        <v>1986</v>
      </c>
      <c r="E46" s="22">
        <v>106854</v>
      </c>
      <c r="F46" s="22">
        <v>75181</v>
      </c>
    </row>
    <row r="47" spans="1:6" hidden="1" outlineLevel="1" x14ac:dyDescent="0.2">
      <c r="A47" s="22" t="s">
        <v>41</v>
      </c>
      <c r="B47" s="22">
        <v>4</v>
      </c>
      <c r="C47" s="26" t="s">
        <v>38</v>
      </c>
      <c r="D47" s="22">
        <v>1689</v>
      </c>
      <c r="E47" s="22">
        <v>79697</v>
      </c>
      <c r="F47" s="22">
        <v>74691</v>
      </c>
    </row>
    <row r="48" spans="1:6" hidden="1" outlineLevel="1" x14ac:dyDescent="0.2">
      <c r="A48" s="22" t="s">
        <v>41</v>
      </c>
      <c r="B48" s="22">
        <v>5</v>
      </c>
      <c r="C48" s="26" t="s">
        <v>38</v>
      </c>
      <c r="D48" s="22">
        <v>1244</v>
      </c>
      <c r="E48" s="22">
        <v>76692</v>
      </c>
      <c r="F48" s="22">
        <v>118227</v>
      </c>
    </row>
    <row r="49" spans="1:6" hidden="1" outlineLevel="1" x14ac:dyDescent="0.2">
      <c r="A49" s="22" t="s">
        <v>41</v>
      </c>
      <c r="B49" s="22">
        <v>4</v>
      </c>
      <c r="C49" s="26" t="s">
        <v>39</v>
      </c>
      <c r="D49" s="22">
        <v>1004</v>
      </c>
      <c r="E49" s="22">
        <v>96514</v>
      </c>
      <c r="F49" s="22">
        <v>107287</v>
      </c>
    </row>
    <row r="50" spans="1:6" hidden="1" outlineLevel="1" x14ac:dyDescent="0.2">
      <c r="A50" s="22" t="s">
        <v>41</v>
      </c>
      <c r="B50" s="22">
        <v>5</v>
      </c>
      <c r="C50" s="26" t="s">
        <v>39</v>
      </c>
      <c r="D50" s="22">
        <v>1628</v>
      </c>
      <c r="E50" s="22">
        <v>70070</v>
      </c>
      <c r="F50" s="22">
        <v>104105</v>
      </c>
    </row>
    <row r="51" spans="1:6" hidden="1" outlineLevel="1" x14ac:dyDescent="0.2">
      <c r="A51" s="22" t="s">
        <v>41</v>
      </c>
      <c r="B51" s="22">
        <v>4</v>
      </c>
      <c r="C51" s="26" t="s">
        <v>40</v>
      </c>
      <c r="D51" s="22">
        <v>1897</v>
      </c>
      <c r="E51" s="22">
        <v>52216</v>
      </c>
      <c r="F51" s="22">
        <v>98128</v>
      </c>
    </row>
    <row r="52" spans="1:6" hidden="1" outlineLevel="1" x14ac:dyDescent="0.2">
      <c r="A52" s="22" t="s">
        <v>41</v>
      </c>
      <c r="B52" s="22">
        <v>5</v>
      </c>
      <c r="C52" s="26" t="s">
        <v>40</v>
      </c>
      <c r="D52" s="22">
        <v>1365</v>
      </c>
      <c r="E52" s="22">
        <v>64052</v>
      </c>
      <c r="F52" s="22">
        <v>92564</v>
      </c>
    </row>
    <row r="53" spans="1:6" collapsed="1" x14ac:dyDescent="0.2">
      <c r="A53" s="22" t="s">
        <v>28</v>
      </c>
      <c r="B53" s="22">
        <v>1</v>
      </c>
      <c r="C53" s="26" t="s">
        <v>29</v>
      </c>
      <c r="D53" s="22">
        <v>1594</v>
      </c>
      <c r="E53" s="22">
        <v>80988</v>
      </c>
      <c r="F53" s="22">
        <v>116867</v>
      </c>
    </row>
    <row r="54" spans="1:6" hidden="1" outlineLevel="1" x14ac:dyDescent="0.2">
      <c r="A54" s="22" t="s">
        <v>28</v>
      </c>
      <c r="B54" s="22">
        <v>2</v>
      </c>
      <c r="C54" s="26" t="s">
        <v>29</v>
      </c>
      <c r="D54" s="22">
        <v>1338</v>
      </c>
      <c r="E54" s="22">
        <v>67226</v>
      </c>
      <c r="F54" s="22">
        <v>61659</v>
      </c>
    </row>
    <row r="55" spans="1:6" hidden="1" outlineLevel="1" x14ac:dyDescent="0.2">
      <c r="A55" s="22" t="s">
        <v>28</v>
      </c>
      <c r="B55" s="22">
        <v>3</v>
      </c>
      <c r="C55" s="26" t="s">
        <v>29</v>
      </c>
      <c r="D55" s="22">
        <v>1997</v>
      </c>
      <c r="E55" s="22">
        <v>73655</v>
      </c>
      <c r="F55" s="22">
        <v>70864</v>
      </c>
    </row>
    <row r="56" spans="1:6" hidden="1" outlineLevel="1" x14ac:dyDescent="0.2">
      <c r="A56" s="22" t="s">
        <v>28</v>
      </c>
      <c r="B56" s="22">
        <v>1</v>
      </c>
      <c r="C56" s="26" t="s">
        <v>30</v>
      </c>
      <c r="D56" s="22">
        <v>1897</v>
      </c>
      <c r="E56" s="22">
        <v>77677</v>
      </c>
      <c r="F56" s="22">
        <v>69871</v>
      </c>
    </row>
    <row r="57" spans="1:6" hidden="1" outlineLevel="1" x14ac:dyDescent="0.2">
      <c r="A57" s="22" t="s">
        <v>28</v>
      </c>
      <c r="B57" s="22">
        <v>2</v>
      </c>
      <c r="C57" s="26" t="s">
        <v>30</v>
      </c>
      <c r="D57" s="22">
        <v>1312</v>
      </c>
      <c r="E57" s="22">
        <v>70043</v>
      </c>
      <c r="F57" s="22">
        <v>69966</v>
      </c>
    </row>
    <row r="58" spans="1:6" hidden="1" outlineLevel="1" x14ac:dyDescent="0.2">
      <c r="A58" s="22" t="s">
        <v>28</v>
      </c>
      <c r="B58" s="22">
        <v>3</v>
      </c>
      <c r="C58" s="26" t="s">
        <v>30</v>
      </c>
      <c r="D58" s="22">
        <v>1643</v>
      </c>
      <c r="E58" s="22">
        <v>111994</v>
      </c>
      <c r="F58" s="22">
        <v>66070</v>
      </c>
    </row>
    <row r="59" spans="1:6" hidden="1" outlineLevel="1" x14ac:dyDescent="0.2">
      <c r="A59" s="22" t="s">
        <v>28</v>
      </c>
      <c r="B59" s="22">
        <v>1</v>
      </c>
      <c r="C59" s="26" t="s">
        <v>31</v>
      </c>
      <c r="D59" s="22">
        <v>1786</v>
      </c>
      <c r="E59" s="22">
        <v>90928</v>
      </c>
      <c r="F59" s="22">
        <v>87960</v>
      </c>
    </row>
    <row r="60" spans="1:6" hidden="1" outlineLevel="1" x14ac:dyDescent="0.2">
      <c r="A60" s="22" t="s">
        <v>28</v>
      </c>
      <c r="B60" s="22">
        <v>2</v>
      </c>
      <c r="C60" s="26" t="s">
        <v>31</v>
      </c>
      <c r="D60" s="22">
        <v>1147</v>
      </c>
      <c r="E60" s="22">
        <v>55042</v>
      </c>
      <c r="F60" s="22">
        <v>63137</v>
      </c>
    </row>
    <row r="61" spans="1:6" hidden="1" outlineLevel="1" x14ac:dyDescent="0.2">
      <c r="A61" s="22" t="s">
        <v>28</v>
      </c>
      <c r="B61" s="22">
        <v>3</v>
      </c>
      <c r="C61" s="26" t="s">
        <v>31</v>
      </c>
      <c r="D61" s="22">
        <v>1970</v>
      </c>
      <c r="E61" s="22">
        <v>100139</v>
      </c>
      <c r="F61" s="22">
        <v>118207</v>
      </c>
    </row>
    <row r="62" spans="1:6" hidden="1" outlineLevel="1" x14ac:dyDescent="0.2">
      <c r="A62" s="22" t="s">
        <v>28</v>
      </c>
      <c r="B62" s="22">
        <v>1</v>
      </c>
      <c r="C62" s="26" t="s">
        <v>32</v>
      </c>
      <c r="D62" s="22">
        <v>1727</v>
      </c>
      <c r="E62" s="22">
        <v>107013</v>
      </c>
      <c r="F62" s="22">
        <v>63027</v>
      </c>
    </row>
    <row r="63" spans="1:6" hidden="1" outlineLevel="1" x14ac:dyDescent="0.2">
      <c r="A63" s="22" t="s">
        <v>28</v>
      </c>
      <c r="B63" s="22">
        <v>2</v>
      </c>
      <c r="C63" s="26" t="s">
        <v>32</v>
      </c>
      <c r="D63" s="22">
        <v>1939</v>
      </c>
      <c r="E63" s="22">
        <v>73855</v>
      </c>
      <c r="F63" s="22">
        <v>115950</v>
      </c>
    </row>
    <row r="64" spans="1:6" hidden="1" outlineLevel="1" x14ac:dyDescent="0.2">
      <c r="A64" s="22" t="s">
        <v>28</v>
      </c>
      <c r="B64" s="22">
        <v>3</v>
      </c>
      <c r="C64" s="26" t="s">
        <v>32</v>
      </c>
      <c r="D64" s="22">
        <v>1601</v>
      </c>
      <c r="E64" s="22">
        <v>93742</v>
      </c>
      <c r="F64" s="22">
        <v>112419</v>
      </c>
    </row>
    <row r="65" spans="1:6" hidden="1" outlineLevel="1" x14ac:dyDescent="0.2">
      <c r="A65" s="22" t="s">
        <v>28</v>
      </c>
      <c r="B65" s="22">
        <v>1</v>
      </c>
      <c r="C65" s="26" t="s">
        <v>33</v>
      </c>
      <c r="D65" s="22">
        <v>1490</v>
      </c>
      <c r="E65" s="22">
        <v>62789</v>
      </c>
      <c r="F65" s="22">
        <v>104537</v>
      </c>
    </row>
    <row r="66" spans="1:6" hidden="1" outlineLevel="1" x14ac:dyDescent="0.2">
      <c r="A66" s="22" t="s">
        <v>28</v>
      </c>
      <c r="B66" s="22">
        <v>2</v>
      </c>
      <c r="C66" s="26" t="s">
        <v>33</v>
      </c>
      <c r="D66" s="22">
        <v>1401</v>
      </c>
      <c r="E66" s="22">
        <v>108057</v>
      </c>
      <c r="F66" s="22">
        <v>112173</v>
      </c>
    </row>
    <row r="67" spans="1:6" hidden="1" outlineLevel="1" x14ac:dyDescent="0.2">
      <c r="A67" s="22" t="s">
        <v>28</v>
      </c>
      <c r="B67" s="22">
        <v>3</v>
      </c>
      <c r="C67" s="26" t="s">
        <v>33</v>
      </c>
      <c r="D67" s="22">
        <v>1066</v>
      </c>
      <c r="E67" s="22">
        <v>91233</v>
      </c>
      <c r="F67" s="22">
        <v>116589</v>
      </c>
    </row>
    <row r="68" spans="1:6" hidden="1" outlineLevel="1" x14ac:dyDescent="0.2">
      <c r="A68" s="22" t="s">
        <v>28</v>
      </c>
      <c r="B68" s="22">
        <v>1</v>
      </c>
      <c r="C68" s="26" t="s">
        <v>34</v>
      </c>
      <c r="D68" s="22">
        <v>1354</v>
      </c>
      <c r="E68" s="22">
        <v>116534</v>
      </c>
      <c r="F68" s="22">
        <v>51113</v>
      </c>
    </row>
    <row r="69" spans="1:6" hidden="1" outlineLevel="1" x14ac:dyDescent="0.2">
      <c r="A69" s="22" t="s">
        <v>28</v>
      </c>
      <c r="B69" s="22">
        <v>2</v>
      </c>
      <c r="C69" s="26" t="s">
        <v>34</v>
      </c>
      <c r="D69" s="22">
        <v>1142</v>
      </c>
      <c r="E69" s="22">
        <v>68363</v>
      </c>
      <c r="F69" s="22">
        <v>62414</v>
      </c>
    </row>
    <row r="70" spans="1:6" hidden="1" outlineLevel="1" x14ac:dyDescent="0.2">
      <c r="A70" s="22" t="s">
        <v>28</v>
      </c>
      <c r="B70" s="22">
        <v>3</v>
      </c>
      <c r="C70" s="26" t="s">
        <v>34</v>
      </c>
      <c r="D70" s="22">
        <v>1352</v>
      </c>
      <c r="E70" s="22">
        <v>101541</v>
      </c>
      <c r="F70" s="22">
        <v>57247</v>
      </c>
    </row>
    <row r="71" spans="1:6" hidden="1" outlineLevel="1" x14ac:dyDescent="0.2">
      <c r="A71" s="22" t="s">
        <v>28</v>
      </c>
      <c r="B71" s="22">
        <v>1</v>
      </c>
      <c r="C71" s="26" t="s">
        <v>35</v>
      </c>
      <c r="D71" s="22">
        <v>1221</v>
      </c>
      <c r="E71" s="22">
        <v>96052</v>
      </c>
      <c r="F71" s="22">
        <v>79338</v>
      </c>
    </row>
    <row r="72" spans="1:6" hidden="1" outlineLevel="1" x14ac:dyDescent="0.2">
      <c r="A72" s="22" t="s">
        <v>28</v>
      </c>
      <c r="B72" s="22">
        <v>2</v>
      </c>
      <c r="C72" s="26" t="s">
        <v>35</v>
      </c>
      <c r="D72" s="22">
        <v>1740</v>
      </c>
      <c r="E72" s="22">
        <v>98139</v>
      </c>
      <c r="F72" s="22">
        <v>108824</v>
      </c>
    </row>
    <row r="73" spans="1:6" hidden="1" outlineLevel="1" x14ac:dyDescent="0.2">
      <c r="A73" s="22" t="s">
        <v>28</v>
      </c>
      <c r="B73" s="22">
        <v>3</v>
      </c>
      <c r="C73" s="26" t="s">
        <v>35</v>
      </c>
      <c r="D73" s="22">
        <v>1042</v>
      </c>
      <c r="E73" s="22">
        <v>84098</v>
      </c>
      <c r="F73" s="22">
        <v>92299</v>
      </c>
    </row>
    <row r="74" spans="1:6" hidden="1" outlineLevel="1" x14ac:dyDescent="0.2">
      <c r="A74" s="22" t="s">
        <v>28</v>
      </c>
      <c r="B74" s="22">
        <v>1</v>
      </c>
      <c r="C74" s="26" t="s">
        <v>36</v>
      </c>
      <c r="D74" s="22">
        <v>1347</v>
      </c>
      <c r="E74" s="22">
        <v>110183</v>
      </c>
      <c r="F74" s="22">
        <v>96461</v>
      </c>
    </row>
    <row r="75" spans="1:6" hidden="1" outlineLevel="1" x14ac:dyDescent="0.2">
      <c r="A75" s="22" t="s">
        <v>28</v>
      </c>
      <c r="B75" s="22">
        <v>2</v>
      </c>
      <c r="C75" s="26" t="s">
        <v>36</v>
      </c>
      <c r="D75" s="22">
        <v>1311</v>
      </c>
      <c r="E75" s="22">
        <v>90770</v>
      </c>
      <c r="F75" s="22">
        <v>103177</v>
      </c>
    </row>
    <row r="76" spans="1:6" hidden="1" outlineLevel="1" x14ac:dyDescent="0.2">
      <c r="A76" s="22" t="s">
        <v>28</v>
      </c>
      <c r="B76" s="22">
        <v>3</v>
      </c>
      <c r="C76" s="26" t="s">
        <v>36</v>
      </c>
      <c r="D76" s="22">
        <v>1912</v>
      </c>
      <c r="E76" s="22">
        <v>107755</v>
      </c>
      <c r="F76" s="22">
        <v>113696</v>
      </c>
    </row>
    <row r="77" spans="1:6" hidden="1" outlineLevel="1" x14ac:dyDescent="0.2">
      <c r="A77" s="22" t="s">
        <v>28</v>
      </c>
      <c r="B77" s="22">
        <v>1</v>
      </c>
      <c r="C77" s="26" t="s">
        <v>37</v>
      </c>
      <c r="D77" s="22">
        <v>1395</v>
      </c>
      <c r="E77" s="22">
        <v>92105</v>
      </c>
      <c r="F77" s="22">
        <v>100371</v>
      </c>
    </row>
    <row r="78" spans="1:6" hidden="1" outlineLevel="1" x14ac:dyDescent="0.2">
      <c r="A78" s="22" t="s">
        <v>28</v>
      </c>
      <c r="B78" s="22">
        <v>2</v>
      </c>
      <c r="C78" s="26" t="s">
        <v>37</v>
      </c>
      <c r="D78" s="22">
        <v>1669</v>
      </c>
      <c r="E78" s="22">
        <v>115275</v>
      </c>
      <c r="F78" s="22">
        <v>68672</v>
      </c>
    </row>
    <row r="79" spans="1:6" hidden="1" outlineLevel="1" x14ac:dyDescent="0.2">
      <c r="A79" s="22" t="s">
        <v>28</v>
      </c>
      <c r="B79" s="22">
        <v>3</v>
      </c>
      <c r="C79" s="26" t="s">
        <v>37</v>
      </c>
      <c r="D79" s="22">
        <v>1500</v>
      </c>
      <c r="E79" s="22">
        <v>106328</v>
      </c>
      <c r="F79" s="22">
        <v>100992</v>
      </c>
    </row>
    <row r="80" spans="1:6" hidden="1" outlineLevel="1" x14ac:dyDescent="0.2">
      <c r="A80" s="22" t="s">
        <v>28</v>
      </c>
      <c r="B80" s="22">
        <v>1</v>
      </c>
      <c r="C80" s="26" t="s">
        <v>38</v>
      </c>
      <c r="D80" s="22">
        <v>1433</v>
      </c>
      <c r="E80" s="22">
        <v>65223</v>
      </c>
      <c r="F80" s="22">
        <v>84370</v>
      </c>
    </row>
    <row r="81" spans="1:6" hidden="1" outlineLevel="1" x14ac:dyDescent="0.2">
      <c r="A81" s="22" t="s">
        <v>28</v>
      </c>
      <c r="B81" s="22">
        <v>2</v>
      </c>
      <c r="C81" s="26" t="s">
        <v>38</v>
      </c>
      <c r="D81" s="22">
        <v>1003</v>
      </c>
      <c r="E81" s="22">
        <v>113842</v>
      </c>
      <c r="F81" s="22">
        <v>105031</v>
      </c>
    </row>
    <row r="82" spans="1:6" hidden="1" outlineLevel="1" x14ac:dyDescent="0.2">
      <c r="A82" s="22" t="s">
        <v>28</v>
      </c>
      <c r="B82" s="22">
        <v>3</v>
      </c>
      <c r="C82" s="26" t="s">
        <v>38</v>
      </c>
      <c r="D82" s="22">
        <v>1243</v>
      </c>
      <c r="E82" s="22">
        <v>64356</v>
      </c>
      <c r="F82" s="22">
        <v>66568</v>
      </c>
    </row>
    <row r="83" spans="1:6" hidden="1" outlineLevel="1" x14ac:dyDescent="0.2">
      <c r="A83" s="22" t="s">
        <v>28</v>
      </c>
      <c r="B83" s="22">
        <v>1</v>
      </c>
      <c r="C83" s="26" t="s">
        <v>39</v>
      </c>
      <c r="D83" s="22">
        <v>1968</v>
      </c>
      <c r="E83" s="22">
        <v>94201</v>
      </c>
      <c r="F83" s="22">
        <v>104731</v>
      </c>
    </row>
    <row r="84" spans="1:6" hidden="1" outlineLevel="1" x14ac:dyDescent="0.2">
      <c r="A84" s="22" t="s">
        <v>28</v>
      </c>
      <c r="B84" s="22">
        <v>2</v>
      </c>
      <c r="C84" s="26" t="s">
        <v>39</v>
      </c>
      <c r="D84" s="22">
        <v>1707</v>
      </c>
      <c r="E84" s="22">
        <v>60474</v>
      </c>
      <c r="F84" s="22">
        <v>98572</v>
      </c>
    </row>
    <row r="85" spans="1:6" hidden="1" outlineLevel="1" x14ac:dyDescent="0.2">
      <c r="A85" s="22" t="s">
        <v>28</v>
      </c>
      <c r="B85" s="22">
        <v>3</v>
      </c>
      <c r="C85" s="26" t="s">
        <v>39</v>
      </c>
      <c r="D85" s="22">
        <v>1812</v>
      </c>
      <c r="E85" s="22">
        <v>73596</v>
      </c>
      <c r="F85" s="22">
        <v>107414</v>
      </c>
    </row>
    <row r="86" spans="1:6" hidden="1" outlineLevel="1" x14ac:dyDescent="0.2">
      <c r="A86" s="22" t="s">
        <v>28</v>
      </c>
      <c r="B86" s="22">
        <v>1</v>
      </c>
      <c r="C86" s="26" t="s">
        <v>40</v>
      </c>
      <c r="D86" s="22">
        <v>1181</v>
      </c>
      <c r="E86" s="22">
        <v>90667</v>
      </c>
      <c r="F86" s="22">
        <v>85403</v>
      </c>
    </row>
    <row r="87" spans="1:6" hidden="1" outlineLevel="1" x14ac:dyDescent="0.2">
      <c r="A87" s="22" t="s">
        <v>28</v>
      </c>
      <c r="B87" s="22">
        <v>2</v>
      </c>
      <c r="C87" s="26" t="s">
        <v>40</v>
      </c>
      <c r="D87" s="22">
        <v>1055</v>
      </c>
      <c r="E87" s="22">
        <v>71265</v>
      </c>
      <c r="F87" s="22">
        <v>106488</v>
      </c>
    </row>
    <row r="88" spans="1:6" hidden="1" outlineLevel="1" x14ac:dyDescent="0.2">
      <c r="A88" s="22" t="s">
        <v>28</v>
      </c>
      <c r="B88" s="22">
        <v>3</v>
      </c>
      <c r="C88" s="26" t="s">
        <v>40</v>
      </c>
      <c r="D88" s="22">
        <v>1794</v>
      </c>
      <c r="E88" s="22">
        <v>50286</v>
      </c>
      <c r="F88" s="22">
        <v>116598</v>
      </c>
    </row>
    <row r="89" spans="1:6" collapsed="1" x14ac:dyDescent="0.2"/>
  </sheetData>
  <sortState xmlns:xlrd2="http://schemas.microsoft.com/office/spreadsheetml/2017/richdata2" ref="A5:F88">
    <sortCondition ref="A5:A88"/>
  </sortState>
  <phoneticPr fontId="0" type="noConversion"/>
  <pageMargins left="0.7" right="0.7" top="0.78740157499999996" bottom="0.78740157499999996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4"/>
  <sheetViews>
    <sheetView tabSelected="1" workbookViewId="0">
      <pane ySplit="5" topLeftCell="A6" activePane="bottomLeft" state="frozen"/>
      <selection pane="bottomLeft" activeCell="J15" sqref="J15"/>
    </sheetView>
  </sheetViews>
  <sheetFormatPr defaultColWidth="9.28515625" defaultRowHeight="12.75" outlineLevelCol="1" x14ac:dyDescent="0.2"/>
  <cols>
    <col min="1" max="2" width="9.28515625" style="22"/>
    <col min="3" max="3" width="13.28515625" style="22" bestFit="1" customWidth="1"/>
    <col min="4" max="4" width="17.42578125" style="22" customWidth="1"/>
    <col min="5" max="5" width="10.28515625" style="22" customWidth="1" outlineLevel="1"/>
    <col min="6" max="6" width="9.28515625" style="22" customWidth="1" outlineLevel="1"/>
    <col min="7" max="16384" width="9.28515625" style="22"/>
  </cols>
  <sheetData>
    <row r="1" spans="1:6" ht="18" x14ac:dyDescent="0.2">
      <c r="A1" s="16" t="s">
        <v>20</v>
      </c>
    </row>
    <row r="2" spans="1:6" ht="18" x14ac:dyDescent="0.25">
      <c r="A2" s="23"/>
    </row>
    <row r="3" spans="1:6" ht="18" x14ac:dyDescent="0.25">
      <c r="A3" s="21"/>
    </row>
    <row r="5" spans="1:6" s="28" customFormat="1" ht="15.75" x14ac:dyDescent="0.2">
      <c r="A5" s="27" t="s">
        <v>19</v>
      </c>
      <c r="B5" s="27" t="s">
        <v>17</v>
      </c>
      <c r="C5" s="27" t="s">
        <v>18</v>
      </c>
      <c r="D5" s="27" t="s">
        <v>14</v>
      </c>
      <c r="E5" s="27" t="s">
        <v>21</v>
      </c>
      <c r="F5" s="27" t="s">
        <v>22</v>
      </c>
    </row>
    <row r="6" spans="1:6" x14ac:dyDescent="0.2">
      <c r="A6" s="22" t="s">
        <v>1</v>
      </c>
      <c r="B6" s="22" t="s">
        <v>6</v>
      </c>
      <c r="C6" s="22" t="s">
        <v>11</v>
      </c>
      <c r="D6" s="22">
        <v>7</v>
      </c>
      <c r="E6" s="22">
        <v>120</v>
      </c>
      <c r="F6" s="22">
        <v>107</v>
      </c>
    </row>
    <row r="7" spans="1:6" x14ac:dyDescent="0.2">
      <c r="A7" s="22" t="s">
        <v>1</v>
      </c>
      <c r="B7" s="22" t="s">
        <v>10</v>
      </c>
      <c r="C7" s="22" t="s">
        <v>13</v>
      </c>
      <c r="D7" s="22">
        <v>7</v>
      </c>
      <c r="E7" s="22">
        <v>447</v>
      </c>
      <c r="F7" s="22">
        <v>109</v>
      </c>
    </row>
    <row r="8" spans="1:6" x14ac:dyDescent="0.2">
      <c r="A8" s="22" t="s">
        <v>1</v>
      </c>
      <c r="B8" s="22" t="s">
        <v>8</v>
      </c>
      <c r="C8" s="22" t="s">
        <v>12</v>
      </c>
      <c r="D8" s="22">
        <v>7</v>
      </c>
      <c r="E8" s="22">
        <v>272</v>
      </c>
      <c r="F8" s="22">
        <v>113</v>
      </c>
    </row>
    <row r="9" spans="1:6" x14ac:dyDescent="0.2">
      <c r="A9" s="22" t="s">
        <v>1</v>
      </c>
      <c r="B9" s="22" t="s">
        <v>8</v>
      </c>
      <c r="C9" s="22" t="s">
        <v>11</v>
      </c>
      <c r="D9" s="22">
        <v>7</v>
      </c>
      <c r="E9" s="22">
        <v>412</v>
      </c>
      <c r="F9" s="22">
        <v>128</v>
      </c>
    </row>
    <row r="10" spans="1:6" x14ac:dyDescent="0.2">
      <c r="A10" s="22" t="s">
        <v>1</v>
      </c>
      <c r="B10" s="22" t="s">
        <v>9</v>
      </c>
      <c r="C10" s="22" t="s">
        <v>11</v>
      </c>
      <c r="D10" s="22">
        <v>7</v>
      </c>
      <c r="E10" s="22">
        <v>122</v>
      </c>
      <c r="F10" s="22">
        <v>136</v>
      </c>
    </row>
    <row r="11" spans="1:6" x14ac:dyDescent="0.2">
      <c r="A11" s="22" t="s">
        <v>1</v>
      </c>
      <c r="B11" s="22" t="s">
        <v>9</v>
      </c>
      <c r="C11" s="22" t="s">
        <v>13</v>
      </c>
      <c r="D11" s="22">
        <v>7</v>
      </c>
      <c r="E11" s="22">
        <v>260</v>
      </c>
      <c r="F11" s="22">
        <v>124</v>
      </c>
    </row>
    <row r="12" spans="1:6" x14ac:dyDescent="0.2">
      <c r="A12" s="22" t="s">
        <v>1</v>
      </c>
      <c r="B12" s="22" t="s">
        <v>6</v>
      </c>
      <c r="C12" s="22" t="s">
        <v>13</v>
      </c>
      <c r="D12" s="22">
        <v>11</v>
      </c>
      <c r="E12" s="22">
        <v>391</v>
      </c>
      <c r="F12" s="22">
        <v>177</v>
      </c>
    </row>
    <row r="13" spans="1:6" x14ac:dyDescent="0.2">
      <c r="A13" s="22" t="s">
        <v>1</v>
      </c>
      <c r="B13" s="22" t="s">
        <v>10</v>
      </c>
      <c r="C13" s="22" t="s">
        <v>11</v>
      </c>
      <c r="D13" s="22">
        <v>11</v>
      </c>
      <c r="E13" s="22">
        <v>274</v>
      </c>
      <c r="F13" s="22">
        <v>122</v>
      </c>
    </row>
    <row r="14" spans="1:6" x14ac:dyDescent="0.2">
      <c r="A14" s="22" t="s">
        <v>1</v>
      </c>
      <c r="B14" s="22" t="s">
        <v>10</v>
      </c>
      <c r="C14" s="22" t="s">
        <v>12</v>
      </c>
      <c r="D14" s="22">
        <v>12</v>
      </c>
      <c r="E14" s="22">
        <v>349</v>
      </c>
      <c r="F14" s="22">
        <v>165</v>
      </c>
    </row>
    <row r="15" spans="1:6" x14ac:dyDescent="0.2">
      <c r="A15" s="22" t="s">
        <v>1</v>
      </c>
      <c r="B15" s="22" t="s">
        <v>9</v>
      </c>
      <c r="C15" s="22" t="s">
        <v>12</v>
      </c>
      <c r="D15" s="22">
        <v>12</v>
      </c>
      <c r="E15" s="22">
        <v>286</v>
      </c>
      <c r="F15" s="22">
        <v>197</v>
      </c>
    </row>
    <row r="16" spans="1:6" x14ac:dyDescent="0.2">
      <c r="A16" s="22" t="s">
        <v>1</v>
      </c>
      <c r="B16" s="22" t="s">
        <v>6</v>
      </c>
      <c r="C16" s="22" t="s">
        <v>12</v>
      </c>
      <c r="D16" s="22">
        <v>14</v>
      </c>
      <c r="E16" s="22">
        <v>129</v>
      </c>
      <c r="F16" s="22">
        <v>188</v>
      </c>
    </row>
    <row r="17" spans="1:6" x14ac:dyDescent="0.2">
      <c r="A17" s="22" t="s">
        <v>1</v>
      </c>
      <c r="B17" s="22" t="s">
        <v>7</v>
      </c>
      <c r="C17" s="22" t="s">
        <v>12</v>
      </c>
      <c r="D17" s="22">
        <v>14</v>
      </c>
      <c r="E17" s="22">
        <v>282</v>
      </c>
      <c r="F17" s="22">
        <v>160</v>
      </c>
    </row>
    <row r="18" spans="1:6" x14ac:dyDescent="0.2">
      <c r="A18" s="22" t="s">
        <v>1</v>
      </c>
      <c r="B18" s="22" t="s">
        <v>7</v>
      </c>
      <c r="C18" s="22" t="s">
        <v>11</v>
      </c>
      <c r="D18" s="22">
        <v>14</v>
      </c>
      <c r="E18" s="22">
        <v>318</v>
      </c>
      <c r="F18" s="22">
        <v>138</v>
      </c>
    </row>
    <row r="19" spans="1:6" x14ac:dyDescent="0.2">
      <c r="A19" s="22" t="s">
        <v>1</v>
      </c>
      <c r="B19" s="22" t="s">
        <v>7</v>
      </c>
      <c r="C19" s="22" t="s">
        <v>13</v>
      </c>
      <c r="D19" s="22">
        <v>14</v>
      </c>
      <c r="E19" s="22">
        <v>405</v>
      </c>
      <c r="F19" s="22">
        <v>129</v>
      </c>
    </row>
    <row r="20" spans="1:6" x14ac:dyDescent="0.2">
      <c r="A20" s="22" t="s">
        <v>1</v>
      </c>
      <c r="B20" s="22" t="s">
        <v>8</v>
      </c>
      <c r="C20" s="22" t="s">
        <v>13</v>
      </c>
      <c r="D20" s="22">
        <v>14</v>
      </c>
      <c r="E20" s="22">
        <v>415</v>
      </c>
      <c r="F20" s="22">
        <v>150</v>
      </c>
    </row>
    <row r="21" spans="1:6" x14ac:dyDescent="0.2">
      <c r="A21" s="22" t="s">
        <v>3</v>
      </c>
      <c r="B21" s="22" t="s">
        <v>6</v>
      </c>
      <c r="C21" s="22" t="s">
        <v>11</v>
      </c>
      <c r="D21" s="22">
        <v>7</v>
      </c>
      <c r="E21" s="22">
        <v>178</v>
      </c>
      <c r="F21" s="22">
        <v>117</v>
      </c>
    </row>
    <row r="22" spans="1:6" x14ac:dyDescent="0.2">
      <c r="A22" s="22" t="s">
        <v>3</v>
      </c>
      <c r="B22" s="22" t="s">
        <v>6</v>
      </c>
      <c r="C22" s="22" t="s">
        <v>13</v>
      </c>
      <c r="D22" s="22">
        <v>7</v>
      </c>
      <c r="E22" s="22">
        <v>178</v>
      </c>
      <c r="F22" s="22">
        <v>128</v>
      </c>
    </row>
    <row r="23" spans="1:6" x14ac:dyDescent="0.2">
      <c r="A23" s="22" t="s">
        <v>3</v>
      </c>
      <c r="B23" s="22" t="s">
        <v>10</v>
      </c>
      <c r="C23" s="22" t="s">
        <v>13</v>
      </c>
      <c r="D23" s="22">
        <v>7</v>
      </c>
      <c r="E23" s="22">
        <v>332</v>
      </c>
      <c r="F23" s="22">
        <v>119</v>
      </c>
    </row>
    <row r="24" spans="1:6" x14ac:dyDescent="0.2">
      <c r="A24" s="22" t="s">
        <v>3</v>
      </c>
      <c r="B24" s="22" t="s">
        <v>7</v>
      </c>
      <c r="C24" s="22" t="s">
        <v>12</v>
      </c>
      <c r="D24" s="22">
        <v>11</v>
      </c>
      <c r="E24" s="22">
        <v>206</v>
      </c>
      <c r="F24" s="22">
        <v>184</v>
      </c>
    </row>
    <row r="25" spans="1:6" x14ac:dyDescent="0.2">
      <c r="A25" s="22" t="s">
        <v>3</v>
      </c>
      <c r="B25" s="22" t="s">
        <v>7</v>
      </c>
      <c r="C25" s="22" t="s">
        <v>13</v>
      </c>
      <c r="D25" s="22">
        <v>11</v>
      </c>
      <c r="E25" s="22">
        <v>267</v>
      </c>
      <c r="F25" s="22">
        <v>108</v>
      </c>
    </row>
    <row r="26" spans="1:6" x14ac:dyDescent="0.2">
      <c r="A26" s="22" t="s">
        <v>3</v>
      </c>
      <c r="B26" s="22" t="s">
        <v>8</v>
      </c>
      <c r="C26" s="22" t="s">
        <v>12</v>
      </c>
      <c r="D26" s="22">
        <v>11</v>
      </c>
      <c r="E26" s="22">
        <v>134</v>
      </c>
      <c r="F26" s="22">
        <v>152</v>
      </c>
    </row>
    <row r="27" spans="1:6" x14ac:dyDescent="0.2">
      <c r="A27" s="22" t="s">
        <v>3</v>
      </c>
      <c r="B27" s="22" t="s">
        <v>8</v>
      </c>
      <c r="C27" s="22" t="s">
        <v>13</v>
      </c>
      <c r="D27" s="22">
        <v>11</v>
      </c>
      <c r="E27" s="22">
        <v>385</v>
      </c>
      <c r="F27" s="22">
        <v>123</v>
      </c>
    </row>
    <row r="28" spans="1:6" x14ac:dyDescent="0.2">
      <c r="A28" s="22" t="s">
        <v>3</v>
      </c>
      <c r="B28" s="22" t="s">
        <v>9</v>
      </c>
      <c r="C28" s="22" t="s">
        <v>12</v>
      </c>
      <c r="D28" s="22">
        <v>11</v>
      </c>
      <c r="E28" s="22">
        <v>170</v>
      </c>
      <c r="F28" s="22">
        <v>123</v>
      </c>
    </row>
    <row r="29" spans="1:6" x14ac:dyDescent="0.2">
      <c r="A29" s="22" t="s">
        <v>3</v>
      </c>
      <c r="B29" s="22" t="s">
        <v>9</v>
      </c>
      <c r="C29" s="22" t="s">
        <v>13</v>
      </c>
      <c r="D29" s="22">
        <v>11</v>
      </c>
      <c r="E29" s="22">
        <v>432</v>
      </c>
      <c r="F29" s="22">
        <v>106</v>
      </c>
    </row>
    <row r="30" spans="1:6" x14ac:dyDescent="0.2">
      <c r="A30" s="22" t="s">
        <v>3</v>
      </c>
      <c r="B30" s="22" t="s">
        <v>7</v>
      </c>
      <c r="C30" s="22" t="s">
        <v>11</v>
      </c>
      <c r="D30" s="22">
        <v>12</v>
      </c>
      <c r="E30" s="22">
        <v>446</v>
      </c>
      <c r="F30" s="22">
        <v>162</v>
      </c>
    </row>
    <row r="31" spans="1:6" x14ac:dyDescent="0.2">
      <c r="A31" s="22" t="s">
        <v>3</v>
      </c>
      <c r="B31" s="22" t="s">
        <v>10</v>
      </c>
      <c r="C31" s="22" t="s">
        <v>12</v>
      </c>
      <c r="D31" s="22">
        <v>12</v>
      </c>
      <c r="E31" s="22">
        <v>345</v>
      </c>
      <c r="F31" s="22">
        <v>116</v>
      </c>
    </row>
    <row r="32" spans="1:6" x14ac:dyDescent="0.2">
      <c r="A32" s="22" t="s">
        <v>3</v>
      </c>
      <c r="B32" s="22" t="s">
        <v>8</v>
      </c>
      <c r="C32" s="22" t="s">
        <v>11</v>
      </c>
      <c r="D32" s="22">
        <v>12</v>
      </c>
      <c r="E32" s="22">
        <v>441</v>
      </c>
      <c r="F32" s="22">
        <v>145</v>
      </c>
    </row>
    <row r="33" spans="1:6" x14ac:dyDescent="0.2">
      <c r="A33" s="22" t="s">
        <v>3</v>
      </c>
      <c r="B33" s="22" t="s">
        <v>9</v>
      </c>
      <c r="C33" s="22" t="s">
        <v>11</v>
      </c>
      <c r="D33" s="22">
        <v>12</v>
      </c>
      <c r="E33" s="22">
        <v>124</v>
      </c>
      <c r="F33" s="22">
        <v>145</v>
      </c>
    </row>
    <row r="34" spans="1:6" x14ac:dyDescent="0.2">
      <c r="A34" s="22" t="s">
        <v>3</v>
      </c>
      <c r="B34" s="22" t="s">
        <v>6</v>
      </c>
      <c r="C34" s="22" t="s">
        <v>12</v>
      </c>
      <c r="D34" s="22">
        <v>14</v>
      </c>
      <c r="E34" s="22">
        <v>316</v>
      </c>
      <c r="F34" s="22">
        <v>169</v>
      </c>
    </row>
    <row r="35" spans="1:6" x14ac:dyDescent="0.2">
      <c r="A35" s="22" t="s">
        <v>3</v>
      </c>
      <c r="B35" s="22" t="s">
        <v>10</v>
      </c>
      <c r="C35" s="22" t="s">
        <v>11</v>
      </c>
      <c r="D35" s="22">
        <v>14</v>
      </c>
      <c r="E35" s="22">
        <v>354</v>
      </c>
      <c r="F35" s="22">
        <v>153</v>
      </c>
    </row>
    <row r="36" spans="1:6" x14ac:dyDescent="0.2">
      <c r="A36" s="22" t="s">
        <v>0</v>
      </c>
      <c r="B36" s="22" t="s">
        <v>6</v>
      </c>
      <c r="C36" s="22" t="s">
        <v>13</v>
      </c>
      <c r="D36" s="22">
        <v>7</v>
      </c>
      <c r="E36" s="22">
        <v>471</v>
      </c>
      <c r="F36" s="22">
        <v>100</v>
      </c>
    </row>
    <row r="37" spans="1:6" x14ac:dyDescent="0.2">
      <c r="A37" s="22" t="s">
        <v>0</v>
      </c>
      <c r="B37" s="22" t="s">
        <v>6</v>
      </c>
      <c r="C37" s="22" t="s">
        <v>11</v>
      </c>
      <c r="D37" s="22">
        <v>11</v>
      </c>
      <c r="E37" s="22">
        <v>489</v>
      </c>
      <c r="F37" s="22">
        <v>127</v>
      </c>
    </row>
    <row r="38" spans="1:6" x14ac:dyDescent="0.2">
      <c r="A38" s="22" t="s">
        <v>0</v>
      </c>
      <c r="B38" s="22" t="s">
        <v>10</v>
      </c>
      <c r="C38" s="22" t="s">
        <v>11</v>
      </c>
      <c r="D38" s="22">
        <v>11</v>
      </c>
      <c r="E38" s="22">
        <v>490</v>
      </c>
      <c r="F38" s="22">
        <v>137</v>
      </c>
    </row>
    <row r="39" spans="1:6" x14ac:dyDescent="0.2">
      <c r="A39" s="22" t="s">
        <v>0</v>
      </c>
      <c r="B39" s="22" t="s">
        <v>9</v>
      </c>
      <c r="C39" s="22" t="s">
        <v>11</v>
      </c>
      <c r="D39" s="22">
        <v>11</v>
      </c>
      <c r="E39" s="22">
        <v>487</v>
      </c>
      <c r="F39" s="22">
        <v>107</v>
      </c>
    </row>
    <row r="40" spans="1:6" x14ac:dyDescent="0.2">
      <c r="A40" s="22" t="s">
        <v>0</v>
      </c>
      <c r="B40" s="22" t="s">
        <v>6</v>
      </c>
      <c r="C40" s="22" t="s">
        <v>12</v>
      </c>
      <c r="D40" s="22">
        <v>12</v>
      </c>
      <c r="E40" s="22">
        <v>460</v>
      </c>
      <c r="F40" s="22">
        <v>116</v>
      </c>
    </row>
    <row r="41" spans="1:6" x14ac:dyDescent="0.2">
      <c r="A41" s="22" t="s">
        <v>0</v>
      </c>
      <c r="B41" s="22" t="s">
        <v>10</v>
      </c>
      <c r="C41" s="22" t="s">
        <v>12</v>
      </c>
      <c r="D41" s="22">
        <v>12</v>
      </c>
      <c r="E41" s="22">
        <v>259</v>
      </c>
      <c r="F41" s="22">
        <v>186</v>
      </c>
    </row>
    <row r="42" spans="1:6" x14ac:dyDescent="0.2">
      <c r="A42" s="22" t="s">
        <v>0</v>
      </c>
      <c r="B42" s="22" t="s">
        <v>10</v>
      </c>
      <c r="C42" s="22" t="s">
        <v>13</v>
      </c>
      <c r="D42" s="22">
        <v>12</v>
      </c>
      <c r="E42" s="22">
        <v>386</v>
      </c>
      <c r="F42" s="22">
        <v>181</v>
      </c>
    </row>
    <row r="43" spans="1:6" x14ac:dyDescent="0.2">
      <c r="A43" s="22" t="s">
        <v>0</v>
      </c>
      <c r="B43" s="22" t="s">
        <v>9</v>
      </c>
      <c r="C43" s="22" t="s">
        <v>12</v>
      </c>
      <c r="D43" s="22">
        <v>12</v>
      </c>
      <c r="E43" s="22">
        <v>289</v>
      </c>
      <c r="F43" s="22">
        <v>181</v>
      </c>
    </row>
    <row r="44" spans="1:6" x14ac:dyDescent="0.2">
      <c r="A44" s="22" t="s">
        <v>0</v>
      </c>
      <c r="B44" s="22" t="s">
        <v>7</v>
      </c>
      <c r="C44" s="22" t="s">
        <v>12</v>
      </c>
      <c r="D44" s="22">
        <v>14</v>
      </c>
      <c r="E44" s="22">
        <v>232</v>
      </c>
      <c r="F44" s="22">
        <v>190</v>
      </c>
    </row>
    <row r="45" spans="1:6" x14ac:dyDescent="0.2">
      <c r="A45" s="22" t="s">
        <v>0</v>
      </c>
      <c r="B45" s="22" t="s">
        <v>7</v>
      </c>
      <c r="C45" s="22" t="s">
        <v>11</v>
      </c>
      <c r="D45" s="22">
        <v>14</v>
      </c>
      <c r="E45" s="22">
        <v>260</v>
      </c>
      <c r="F45" s="22">
        <v>173</v>
      </c>
    </row>
    <row r="46" spans="1:6" x14ac:dyDescent="0.2">
      <c r="A46" s="22" t="s">
        <v>0</v>
      </c>
      <c r="B46" s="22" t="s">
        <v>7</v>
      </c>
      <c r="C46" s="22" t="s">
        <v>13</v>
      </c>
      <c r="D46" s="22">
        <v>14</v>
      </c>
      <c r="E46" s="22">
        <v>491</v>
      </c>
      <c r="F46" s="22">
        <v>151</v>
      </c>
    </row>
    <row r="47" spans="1:6" x14ac:dyDescent="0.2">
      <c r="A47" s="22" t="s">
        <v>0</v>
      </c>
      <c r="B47" s="22" t="s">
        <v>8</v>
      </c>
      <c r="C47" s="22" t="s">
        <v>12</v>
      </c>
      <c r="D47" s="22">
        <v>14</v>
      </c>
      <c r="E47" s="22">
        <v>457</v>
      </c>
      <c r="F47" s="22">
        <v>124</v>
      </c>
    </row>
    <row r="48" spans="1:6" x14ac:dyDescent="0.2">
      <c r="A48" s="22" t="s">
        <v>0</v>
      </c>
      <c r="B48" s="22" t="s">
        <v>8</v>
      </c>
      <c r="C48" s="22" t="s">
        <v>11</v>
      </c>
      <c r="D48" s="22">
        <v>14</v>
      </c>
      <c r="E48" s="22">
        <v>401</v>
      </c>
      <c r="F48" s="22">
        <v>125</v>
      </c>
    </row>
    <row r="49" spans="1:6" x14ac:dyDescent="0.2">
      <c r="A49" s="22" t="s">
        <v>0</v>
      </c>
      <c r="B49" s="22" t="s">
        <v>8</v>
      </c>
      <c r="C49" s="22" t="s">
        <v>13</v>
      </c>
      <c r="D49" s="22">
        <v>14</v>
      </c>
      <c r="E49" s="22">
        <v>479</v>
      </c>
      <c r="F49" s="22">
        <v>185</v>
      </c>
    </row>
    <row r="50" spans="1:6" x14ac:dyDescent="0.2">
      <c r="A50" s="22" t="s">
        <v>0</v>
      </c>
      <c r="B50" s="22" t="s">
        <v>9</v>
      </c>
      <c r="C50" s="22" t="s">
        <v>13</v>
      </c>
      <c r="D50" s="22">
        <v>14</v>
      </c>
      <c r="E50" s="22">
        <v>373</v>
      </c>
      <c r="F50" s="22">
        <v>126</v>
      </c>
    </row>
    <row r="51" spans="1:6" x14ac:dyDescent="0.2">
      <c r="A51" s="22" t="s">
        <v>5</v>
      </c>
      <c r="B51" s="22" t="s">
        <v>6</v>
      </c>
      <c r="C51" s="22" t="s">
        <v>11</v>
      </c>
      <c r="D51" s="22">
        <v>7</v>
      </c>
      <c r="E51" s="22">
        <v>157</v>
      </c>
      <c r="F51" s="22">
        <v>190</v>
      </c>
    </row>
    <row r="52" spans="1:6" x14ac:dyDescent="0.2">
      <c r="A52" s="22" t="s">
        <v>5</v>
      </c>
      <c r="B52" s="22" t="s">
        <v>7</v>
      </c>
      <c r="C52" s="22" t="s">
        <v>12</v>
      </c>
      <c r="D52" s="22">
        <v>7</v>
      </c>
      <c r="E52" s="22">
        <v>195</v>
      </c>
      <c r="F52" s="22">
        <v>189</v>
      </c>
    </row>
    <row r="53" spans="1:6" x14ac:dyDescent="0.2">
      <c r="A53" s="22" t="s">
        <v>5</v>
      </c>
      <c r="B53" s="22" t="s">
        <v>7</v>
      </c>
      <c r="C53" s="22" t="s">
        <v>11</v>
      </c>
      <c r="D53" s="22">
        <v>7</v>
      </c>
      <c r="E53" s="22">
        <v>164</v>
      </c>
      <c r="F53" s="22">
        <v>186</v>
      </c>
    </row>
    <row r="54" spans="1:6" x14ac:dyDescent="0.2">
      <c r="A54" s="22" t="s">
        <v>5</v>
      </c>
      <c r="B54" s="22" t="s">
        <v>8</v>
      </c>
      <c r="C54" s="22" t="s">
        <v>13</v>
      </c>
      <c r="D54" s="22">
        <v>7</v>
      </c>
      <c r="E54" s="22">
        <v>139</v>
      </c>
      <c r="F54" s="22">
        <v>144</v>
      </c>
    </row>
    <row r="55" spans="1:6" x14ac:dyDescent="0.2">
      <c r="A55" s="22" t="s">
        <v>5</v>
      </c>
      <c r="B55" s="22" t="s">
        <v>10</v>
      </c>
      <c r="C55" s="22" t="s">
        <v>13</v>
      </c>
      <c r="D55" s="22">
        <v>11</v>
      </c>
      <c r="E55" s="22">
        <v>422</v>
      </c>
      <c r="F55" s="22">
        <v>136</v>
      </c>
    </row>
    <row r="56" spans="1:6" x14ac:dyDescent="0.2">
      <c r="A56" s="22" t="s">
        <v>5</v>
      </c>
      <c r="B56" s="22" t="s">
        <v>8</v>
      </c>
      <c r="C56" s="22" t="s">
        <v>11</v>
      </c>
      <c r="D56" s="22">
        <v>11</v>
      </c>
      <c r="E56" s="22">
        <v>392</v>
      </c>
      <c r="F56" s="22">
        <v>105</v>
      </c>
    </row>
    <row r="57" spans="1:6" x14ac:dyDescent="0.2">
      <c r="A57" s="22" t="s">
        <v>5</v>
      </c>
      <c r="B57" s="22" t="s">
        <v>9</v>
      </c>
      <c r="C57" s="22" t="s">
        <v>11</v>
      </c>
      <c r="D57" s="22">
        <v>11</v>
      </c>
      <c r="E57" s="22">
        <v>135</v>
      </c>
      <c r="F57" s="22">
        <v>125</v>
      </c>
    </row>
    <row r="58" spans="1:6" x14ac:dyDescent="0.2">
      <c r="A58" s="22" t="s">
        <v>5</v>
      </c>
      <c r="B58" s="22" t="s">
        <v>9</v>
      </c>
      <c r="C58" s="22" t="s">
        <v>13</v>
      </c>
      <c r="D58" s="22">
        <v>11</v>
      </c>
      <c r="E58" s="22">
        <v>282</v>
      </c>
      <c r="F58" s="22">
        <v>116</v>
      </c>
    </row>
    <row r="59" spans="1:6" x14ac:dyDescent="0.2">
      <c r="A59" s="22" t="s">
        <v>5</v>
      </c>
      <c r="B59" s="22" t="s">
        <v>10</v>
      </c>
      <c r="C59" s="22" t="s">
        <v>11</v>
      </c>
      <c r="D59" s="22">
        <v>12</v>
      </c>
      <c r="E59" s="22">
        <v>235</v>
      </c>
      <c r="F59" s="22">
        <v>189</v>
      </c>
    </row>
    <row r="60" spans="1:6" x14ac:dyDescent="0.2">
      <c r="A60" s="22" t="s">
        <v>5</v>
      </c>
      <c r="B60" s="22" t="s">
        <v>8</v>
      </c>
      <c r="C60" s="22" t="s">
        <v>12</v>
      </c>
      <c r="D60" s="22">
        <v>12</v>
      </c>
      <c r="E60" s="22">
        <v>317</v>
      </c>
      <c r="F60" s="22">
        <v>138</v>
      </c>
    </row>
    <row r="61" spans="1:6" x14ac:dyDescent="0.2">
      <c r="A61" s="22" t="s">
        <v>5</v>
      </c>
      <c r="B61" s="22" t="s">
        <v>9</v>
      </c>
      <c r="C61" s="22" t="s">
        <v>12</v>
      </c>
      <c r="D61" s="22">
        <v>12</v>
      </c>
      <c r="E61" s="22">
        <v>404</v>
      </c>
      <c r="F61" s="22">
        <v>156</v>
      </c>
    </row>
    <row r="62" spans="1:6" x14ac:dyDescent="0.2">
      <c r="A62" s="22" t="s">
        <v>5</v>
      </c>
      <c r="B62" s="22" t="s">
        <v>6</v>
      </c>
      <c r="C62" s="22" t="s">
        <v>12</v>
      </c>
      <c r="D62" s="22">
        <v>14</v>
      </c>
      <c r="E62" s="22">
        <v>416</v>
      </c>
      <c r="F62" s="22">
        <v>124</v>
      </c>
    </row>
    <row r="63" spans="1:6" x14ac:dyDescent="0.2">
      <c r="A63" s="22" t="s">
        <v>5</v>
      </c>
      <c r="B63" s="22" t="s">
        <v>6</v>
      </c>
      <c r="C63" s="22" t="s">
        <v>13</v>
      </c>
      <c r="D63" s="22">
        <v>14</v>
      </c>
      <c r="E63" s="22">
        <v>193</v>
      </c>
      <c r="F63" s="22">
        <v>107</v>
      </c>
    </row>
    <row r="64" spans="1:6" x14ac:dyDescent="0.2">
      <c r="A64" s="22" t="s">
        <v>5</v>
      </c>
      <c r="B64" s="22" t="s">
        <v>7</v>
      </c>
      <c r="C64" s="22" t="s">
        <v>13</v>
      </c>
      <c r="D64" s="22">
        <v>14</v>
      </c>
      <c r="E64" s="22">
        <v>191</v>
      </c>
      <c r="F64" s="22">
        <v>161</v>
      </c>
    </row>
    <row r="65" spans="1:6" x14ac:dyDescent="0.2">
      <c r="A65" s="22" t="s">
        <v>5</v>
      </c>
      <c r="B65" s="22" t="s">
        <v>10</v>
      </c>
      <c r="C65" s="22" t="s">
        <v>12</v>
      </c>
      <c r="D65" s="22">
        <v>14</v>
      </c>
      <c r="E65" s="22">
        <v>324</v>
      </c>
      <c r="F65" s="22">
        <v>176</v>
      </c>
    </row>
    <row r="66" spans="1:6" x14ac:dyDescent="0.2">
      <c r="A66" s="22" t="s">
        <v>2</v>
      </c>
      <c r="B66" s="22" t="s">
        <v>7</v>
      </c>
      <c r="C66" s="22" t="s">
        <v>12</v>
      </c>
      <c r="D66" s="22">
        <v>7</v>
      </c>
      <c r="E66" s="22">
        <v>457</v>
      </c>
      <c r="F66" s="22">
        <v>114</v>
      </c>
    </row>
    <row r="67" spans="1:6" x14ac:dyDescent="0.2">
      <c r="A67" s="22" t="s">
        <v>2</v>
      </c>
      <c r="B67" s="22" t="s">
        <v>10</v>
      </c>
      <c r="C67" s="22" t="s">
        <v>11</v>
      </c>
      <c r="D67" s="22">
        <v>7</v>
      </c>
      <c r="E67" s="22">
        <v>155</v>
      </c>
      <c r="F67" s="22">
        <v>192</v>
      </c>
    </row>
    <row r="68" spans="1:6" x14ac:dyDescent="0.2">
      <c r="A68" s="22" t="s">
        <v>2</v>
      </c>
      <c r="B68" s="22" t="s">
        <v>8</v>
      </c>
      <c r="C68" s="22" t="s">
        <v>13</v>
      </c>
      <c r="D68" s="22">
        <v>7</v>
      </c>
      <c r="E68" s="22">
        <v>443</v>
      </c>
      <c r="F68" s="22">
        <v>138</v>
      </c>
    </row>
    <row r="69" spans="1:6" x14ac:dyDescent="0.2">
      <c r="A69" s="22" t="s">
        <v>2</v>
      </c>
      <c r="B69" s="22" t="s">
        <v>9</v>
      </c>
      <c r="C69" s="22" t="s">
        <v>13</v>
      </c>
      <c r="D69" s="22">
        <v>7</v>
      </c>
      <c r="E69" s="22">
        <v>301</v>
      </c>
      <c r="F69" s="22">
        <v>148</v>
      </c>
    </row>
    <row r="70" spans="1:6" x14ac:dyDescent="0.2">
      <c r="A70" s="22" t="s">
        <v>2</v>
      </c>
      <c r="B70" s="22" t="s">
        <v>6</v>
      </c>
      <c r="C70" s="22" t="s">
        <v>13</v>
      </c>
      <c r="D70" s="22">
        <v>11</v>
      </c>
      <c r="E70" s="22">
        <v>355</v>
      </c>
      <c r="F70" s="22">
        <v>164</v>
      </c>
    </row>
    <row r="71" spans="1:6" x14ac:dyDescent="0.2">
      <c r="A71" s="22" t="s">
        <v>2</v>
      </c>
      <c r="B71" s="22" t="s">
        <v>7</v>
      </c>
      <c r="C71" s="22" t="s">
        <v>13</v>
      </c>
      <c r="D71" s="22">
        <v>11</v>
      </c>
      <c r="E71" s="22">
        <v>380</v>
      </c>
      <c r="F71" s="22">
        <v>200</v>
      </c>
    </row>
    <row r="72" spans="1:6" x14ac:dyDescent="0.2">
      <c r="A72" s="22" t="s">
        <v>2</v>
      </c>
      <c r="B72" s="22" t="s">
        <v>10</v>
      </c>
      <c r="C72" s="22" t="s">
        <v>12</v>
      </c>
      <c r="D72" s="22">
        <v>11</v>
      </c>
      <c r="E72" s="22">
        <v>285</v>
      </c>
      <c r="F72" s="22">
        <v>122</v>
      </c>
    </row>
    <row r="73" spans="1:6" x14ac:dyDescent="0.2">
      <c r="A73" s="22" t="s">
        <v>2</v>
      </c>
      <c r="B73" s="22" t="s">
        <v>6</v>
      </c>
      <c r="C73" s="22" t="s">
        <v>11</v>
      </c>
      <c r="D73" s="22">
        <v>12</v>
      </c>
      <c r="E73" s="22">
        <v>159</v>
      </c>
      <c r="F73" s="22">
        <v>162</v>
      </c>
    </row>
    <row r="74" spans="1:6" x14ac:dyDescent="0.2">
      <c r="A74" s="22" t="s">
        <v>2</v>
      </c>
      <c r="B74" s="22" t="s">
        <v>10</v>
      </c>
      <c r="C74" s="22" t="s">
        <v>13</v>
      </c>
      <c r="D74" s="22">
        <v>12</v>
      </c>
      <c r="E74" s="22">
        <v>272</v>
      </c>
      <c r="F74" s="22">
        <v>104</v>
      </c>
    </row>
    <row r="75" spans="1:6" x14ac:dyDescent="0.2">
      <c r="A75" s="22" t="s">
        <v>2</v>
      </c>
      <c r="B75" s="22" t="s">
        <v>6</v>
      </c>
      <c r="C75" s="22" t="s">
        <v>12</v>
      </c>
      <c r="D75" s="22">
        <v>14</v>
      </c>
      <c r="E75" s="22">
        <v>355</v>
      </c>
      <c r="F75" s="22">
        <v>150</v>
      </c>
    </row>
    <row r="76" spans="1:6" x14ac:dyDescent="0.2">
      <c r="A76" s="22" t="s">
        <v>2</v>
      </c>
      <c r="B76" s="22" t="s">
        <v>7</v>
      </c>
      <c r="C76" s="22" t="s">
        <v>11</v>
      </c>
      <c r="D76" s="22">
        <v>14</v>
      </c>
      <c r="E76" s="22">
        <v>135</v>
      </c>
      <c r="F76" s="22">
        <v>163</v>
      </c>
    </row>
    <row r="77" spans="1:6" x14ac:dyDescent="0.2">
      <c r="A77" s="22" t="s">
        <v>2</v>
      </c>
      <c r="B77" s="22" t="s">
        <v>8</v>
      </c>
      <c r="C77" s="22" t="s">
        <v>12</v>
      </c>
      <c r="D77" s="22">
        <v>14</v>
      </c>
      <c r="E77" s="22">
        <v>182</v>
      </c>
      <c r="F77" s="22">
        <v>100</v>
      </c>
    </row>
    <row r="78" spans="1:6" x14ac:dyDescent="0.2">
      <c r="A78" s="22" t="s">
        <v>2</v>
      </c>
      <c r="B78" s="22" t="s">
        <v>8</v>
      </c>
      <c r="C78" s="22" t="s">
        <v>11</v>
      </c>
      <c r="D78" s="22">
        <v>14</v>
      </c>
      <c r="E78" s="22">
        <v>356</v>
      </c>
      <c r="F78" s="22">
        <v>141</v>
      </c>
    </row>
    <row r="79" spans="1:6" x14ac:dyDescent="0.2">
      <c r="A79" s="22" t="s">
        <v>2</v>
      </c>
      <c r="B79" s="22" t="s">
        <v>9</v>
      </c>
      <c r="C79" s="22" t="s">
        <v>12</v>
      </c>
      <c r="D79" s="22">
        <v>14</v>
      </c>
      <c r="E79" s="22">
        <v>180</v>
      </c>
      <c r="F79" s="22">
        <v>165</v>
      </c>
    </row>
    <row r="80" spans="1:6" x14ac:dyDescent="0.2">
      <c r="A80" s="22" t="s">
        <v>2</v>
      </c>
      <c r="B80" s="22" t="s">
        <v>9</v>
      </c>
      <c r="C80" s="22" t="s">
        <v>11</v>
      </c>
      <c r="D80" s="22">
        <v>14</v>
      </c>
      <c r="E80" s="22">
        <v>383</v>
      </c>
      <c r="F80" s="22">
        <v>196</v>
      </c>
    </row>
    <row r="81" spans="1:6" x14ac:dyDescent="0.2">
      <c r="A81" s="22" t="s">
        <v>4</v>
      </c>
      <c r="B81" s="22" t="s">
        <v>6</v>
      </c>
      <c r="C81" s="22" t="s">
        <v>13</v>
      </c>
      <c r="D81" s="22">
        <v>7</v>
      </c>
      <c r="E81" s="22">
        <v>426</v>
      </c>
      <c r="F81" s="22">
        <v>185</v>
      </c>
    </row>
    <row r="82" spans="1:6" x14ac:dyDescent="0.2">
      <c r="A82" s="22" t="s">
        <v>4</v>
      </c>
      <c r="B82" s="22" t="s">
        <v>7</v>
      </c>
      <c r="C82" s="22" t="s">
        <v>12</v>
      </c>
      <c r="D82" s="22">
        <v>7</v>
      </c>
      <c r="E82" s="22">
        <v>286</v>
      </c>
      <c r="F82" s="22">
        <v>132</v>
      </c>
    </row>
    <row r="83" spans="1:6" x14ac:dyDescent="0.2">
      <c r="A83" s="22" t="s">
        <v>4</v>
      </c>
      <c r="B83" s="22" t="s">
        <v>10</v>
      </c>
      <c r="C83" s="22" t="s">
        <v>13</v>
      </c>
      <c r="D83" s="22">
        <v>7</v>
      </c>
      <c r="E83" s="22">
        <v>258</v>
      </c>
      <c r="F83" s="22">
        <v>141</v>
      </c>
    </row>
    <row r="84" spans="1:6" x14ac:dyDescent="0.2">
      <c r="A84" s="22" t="s">
        <v>4</v>
      </c>
      <c r="B84" s="22" t="s">
        <v>8</v>
      </c>
      <c r="C84" s="22" t="s">
        <v>13</v>
      </c>
      <c r="D84" s="22">
        <v>7</v>
      </c>
      <c r="E84" s="22">
        <v>151</v>
      </c>
      <c r="F84" s="22">
        <v>194</v>
      </c>
    </row>
    <row r="85" spans="1:6" x14ac:dyDescent="0.2">
      <c r="A85" s="22" t="s">
        <v>4</v>
      </c>
      <c r="B85" s="22" t="s">
        <v>9</v>
      </c>
      <c r="C85" s="22" t="s">
        <v>12</v>
      </c>
      <c r="D85" s="22">
        <v>7</v>
      </c>
      <c r="E85" s="22">
        <v>143</v>
      </c>
      <c r="F85" s="22">
        <v>131</v>
      </c>
    </row>
    <row r="86" spans="1:6" x14ac:dyDescent="0.2">
      <c r="A86" s="22" t="s">
        <v>4</v>
      </c>
      <c r="B86" s="22" t="s">
        <v>7</v>
      </c>
      <c r="C86" s="22" t="s">
        <v>13</v>
      </c>
      <c r="D86" s="22">
        <v>11</v>
      </c>
      <c r="E86" s="22">
        <v>316</v>
      </c>
      <c r="F86" s="22">
        <v>167</v>
      </c>
    </row>
    <row r="87" spans="1:6" x14ac:dyDescent="0.2">
      <c r="A87" s="22" t="s">
        <v>4</v>
      </c>
      <c r="B87" s="22" t="s">
        <v>9</v>
      </c>
      <c r="C87" s="22" t="s">
        <v>13</v>
      </c>
      <c r="D87" s="22">
        <v>11</v>
      </c>
      <c r="E87" s="22">
        <v>351</v>
      </c>
      <c r="F87" s="22">
        <v>169</v>
      </c>
    </row>
    <row r="88" spans="1:6" x14ac:dyDescent="0.2">
      <c r="A88" s="22" t="s">
        <v>4</v>
      </c>
      <c r="B88" s="22" t="s">
        <v>6</v>
      </c>
      <c r="C88" s="22" t="s">
        <v>12</v>
      </c>
      <c r="D88" s="22">
        <v>12</v>
      </c>
      <c r="E88" s="22">
        <v>377</v>
      </c>
      <c r="F88" s="22">
        <v>143</v>
      </c>
    </row>
    <row r="89" spans="1:6" x14ac:dyDescent="0.2">
      <c r="A89" s="22" t="s">
        <v>4</v>
      </c>
      <c r="B89" s="22" t="s">
        <v>10</v>
      </c>
      <c r="C89" s="22" t="s">
        <v>12</v>
      </c>
      <c r="D89" s="22">
        <v>12</v>
      </c>
      <c r="E89" s="22">
        <v>290</v>
      </c>
      <c r="F89" s="22">
        <v>167</v>
      </c>
    </row>
    <row r="90" spans="1:6" x14ac:dyDescent="0.2">
      <c r="A90" s="22" t="s">
        <v>4</v>
      </c>
      <c r="B90" s="22" t="s">
        <v>10</v>
      </c>
      <c r="C90" s="22" t="s">
        <v>11</v>
      </c>
      <c r="D90" s="22">
        <v>12</v>
      </c>
      <c r="E90" s="22">
        <v>483</v>
      </c>
      <c r="F90" s="22">
        <v>117</v>
      </c>
    </row>
    <row r="91" spans="1:6" x14ac:dyDescent="0.2">
      <c r="A91" s="22" t="s">
        <v>4</v>
      </c>
      <c r="B91" s="22" t="s">
        <v>8</v>
      </c>
      <c r="C91" s="22" t="s">
        <v>12</v>
      </c>
      <c r="D91" s="22">
        <v>12</v>
      </c>
      <c r="E91" s="22">
        <v>289</v>
      </c>
      <c r="F91" s="22">
        <v>165</v>
      </c>
    </row>
    <row r="92" spans="1:6" x14ac:dyDescent="0.2">
      <c r="A92" s="22" t="s">
        <v>4</v>
      </c>
      <c r="B92" s="22" t="s">
        <v>8</v>
      </c>
      <c r="C92" s="22" t="s">
        <v>11</v>
      </c>
      <c r="D92" s="22">
        <v>12</v>
      </c>
      <c r="E92" s="22">
        <v>136</v>
      </c>
      <c r="F92" s="22">
        <v>147</v>
      </c>
    </row>
    <row r="93" spans="1:6" x14ac:dyDescent="0.2">
      <c r="A93" s="22" t="s">
        <v>4</v>
      </c>
      <c r="B93" s="22" t="s">
        <v>7</v>
      </c>
      <c r="C93" s="22" t="s">
        <v>11</v>
      </c>
      <c r="D93" s="22">
        <v>14</v>
      </c>
      <c r="E93" s="22">
        <v>237</v>
      </c>
      <c r="F93" s="22">
        <v>103</v>
      </c>
    </row>
    <row r="94" spans="1:6" x14ac:dyDescent="0.2">
      <c r="A94" s="22" t="s">
        <v>4</v>
      </c>
      <c r="B94" s="22" t="s">
        <v>9</v>
      </c>
      <c r="C94" s="22" t="s">
        <v>11</v>
      </c>
      <c r="D94" s="22">
        <v>14</v>
      </c>
      <c r="E94" s="22">
        <v>352</v>
      </c>
      <c r="F94" s="22">
        <v>117</v>
      </c>
    </row>
  </sheetData>
  <sortState xmlns:xlrd2="http://schemas.microsoft.com/office/spreadsheetml/2017/richdata2" ref="A6:F94">
    <sortCondition ref="A6:A94"/>
  </sortState>
  <phoneticPr fontId="0" type="noConversion"/>
  <pageMargins left="0.7" right="0.7" top="0.78740157499999996" bottom="0.78740157499999996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746E8B3FF2B2428A148D03C368DE4A" ma:contentTypeVersion="13" ma:contentTypeDescription="Vytvoří nový dokument" ma:contentTypeScope="" ma:versionID="9d94cbd9914ef4824ad723384dcde04a">
  <xsd:schema xmlns:xsd="http://www.w3.org/2001/XMLSchema" xmlns:xs="http://www.w3.org/2001/XMLSchema" xmlns:p="http://schemas.microsoft.com/office/2006/metadata/properties" xmlns:ns3="ea85f2e0-d32a-4312-be8a-c00aff2510cf" xmlns:ns4="c52afa11-cb76-49c2-a807-b2856752eead" targetNamespace="http://schemas.microsoft.com/office/2006/metadata/properties" ma:root="true" ma:fieldsID="f78cee60d32ecf43d3cd1d8f83bcfaea" ns3:_="" ns4:_="">
    <xsd:import namespace="ea85f2e0-d32a-4312-be8a-c00aff2510cf"/>
    <xsd:import namespace="c52afa11-cb76-49c2-a807-b2856752ee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5f2e0-d32a-4312-be8a-c00aff251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afa11-cb76-49c2-a807-b2856752ee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467302-CC86-4161-9550-D420E967C2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5f2e0-d32a-4312-be8a-c00aff2510cf"/>
    <ds:schemaRef ds:uri="c52afa11-cb76-49c2-a807-b2856752e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C89BFD1-0847-4237-BEF1-B5F5EF69F96B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ea85f2e0-d32a-4312-be8a-c00aff2510cf"/>
    <ds:schemaRef ds:uri="http://purl.org/dc/dcmitype/"/>
    <ds:schemaRef ds:uri="http://purl.org/dc/terms/"/>
    <ds:schemaRef ds:uri="http://schemas.microsoft.com/office/infopath/2007/PartnerControls"/>
    <ds:schemaRef ds:uri="c52afa11-cb76-49c2-a807-b2856752eead"/>
  </ds:schemaRefs>
</ds:datastoreItem>
</file>

<file path=customXml/itemProps3.xml><?xml version="1.0" encoding="utf-8"?>
<ds:datastoreItem xmlns:ds="http://schemas.openxmlformats.org/officeDocument/2006/customXml" ds:itemID="{E581EA58-FBA5-46C4-8983-686603408C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10</vt:i4>
      </vt:variant>
    </vt:vector>
  </HeadingPairs>
  <TitlesOfParts>
    <vt:vector size="10" baseType="lpstr">
      <vt:lpstr>Souhrny 1</vt:lpstr>
      <vt:lpstr>Souhrny 2</vt:lpstr>
      <vt:lpstr>Souhrny 3</vt:lpstr>
      <vt:lpstr>Souhrny 4</vt:lpstr>
      <vt:lpstr>Souhrny 5</vt:lpstr>
      <vt:lpstr>Souhrny 6</vt:lpstr>
      <vt:lpstr>Souhrny 7</vt:lpstr>
      <vt:lpstr>Souhrny 8</vt:lpstr>
      <vt:lpstr>Seskupení 1</vt:lpstr>
      <vt:lpstr>Seskupení 2</vt:lpstr>
    </vt:vector>
  </TitlesOfParts>
  <Company>AB Spektrum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Prokopová</dc:creator>
  <cp:lastModifiedBy>Jan Syrovec</cp:lastModifiedBy>
  <dcterms:created xsi:type="dcterms:W3CDTF">2007-01-17T10:42:39Z</dcterms:created>
  <dcterms:modified xsi:type="dcterms:W3CDTF">2025-10-22T19:24:55Z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0x01010019746E8B3FF2B2428A148D03C368DE4A</vt:lpwstr>
  </property>
</Properties>
</file>