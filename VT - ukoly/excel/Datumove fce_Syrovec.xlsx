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Sy\Desktop\VT - ukoly\excel\"/>
    </mc:Choice>
  </mc:AlternateContent>
  <xr:revisionPtr revIDLastSave="0" documentId="8_{D7B43E38-168A-4C37-BC98-838C8598200E}" xr6:coauthVersionLast="47" xr6:coauthVersionMax="47" xr10:uidLastSave="{00000000-0000-0000-0000-000000000000}"/>
  <bookViews>
    <workbookView xWindow="-120" yWindow="-120" windowWidth="29040" windowHeight="15720" activeTab="4" xr2:uid="{10DCFBB7-1521-4CC5-AB5E-FC0A208FF050}"/>
  </bookViews>
  <sheets>
    <sheet name="Datumové fce" sheetId="1" r:id="rId1"/>
    <sheet name="ÚKOL 1" sheetId="2" r:id="rId2"/>
    <sheet name="Výpočet stáří" sheetId="3" r:id="rId3"/>
    <sheet name="Odpočet dnů" sheetId="4" r:id="rId4"/>
    <sheet name="ÚKOL 2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5" l="1"/>
  <c r="G7" i="5"/>
  <c r="G8" i="5"/>
  <c r="G9" i="5" s="1"/>
  <c r="G10" i="5" s="1"/>
  <c r="G11" i="5" s="1"/>
  <c r="G12" i="5" s="1"/>
  <c r="G6" i="5"/>
  <c r="C7" i="5"/>
  <c r="C8" i="5"/>
  <c r="C9" i="5"/>
  <c r="C10" i="5"/>
  <c r="C11" i="5"/>
  <c r="C12" i="5"/>
  <c r="C13" i="5"/>
  <c r="C6" i="5"/>
  <c r="B5" i="4"/>
  <c r="B6" i="4"/>
  <c r="B7" i="4"/>
  <c r="B8" i="4"/>
  <c r="B4" i="4"/>
  <c r="E4" i="4"/>
  <c r="C13" i="3"/>
  <c r="C12" i="3"/>
  <c r="C11" i="3"/>
  <c r="C10" i="3"/>
  <c r="C5" i="3"/>
  <c r="C6" i="3"/>
  <c r="C7" i="3"/>
  <c r="C8" i="3"/>
  <c r="C9" i="3"/>
  <c r="C4" i="3"/>
  <c r="C6" i="2"/>
  <c r="C15" i="2" s="1"/>
  <c r="C4" i="2"/>
  <c r="C8" i="2" s="1"/>
  <c r="D1" i="1"/>
  <c r="D3" i="1"/>
  <c r="D6" i="1" s="1"/>
  <c r="C17" i="2" l="1"/>
  <c r="C16" i="2"/>
  <c r="C13" i="2"/>
  <c r="C9" i="2"/>
  <c r="C10" i="2"/>
  <c r="D15" i="1"/>
  <c r="D14" i="1"/>
  <c r="D13" i="1"/>
  <c r="D8" i="1"/>
  <c r="D7" i="1"/>
  <c r="C12" i="2" l="1"/>
  <c r="C18" i="2"/>
  <c r="D16" i="1"/>
  <c r="D10" i="1"/>
  <c r="D11" i="1" s="1"/>
</calcChain>
</file>

<file path=xl/sharedStrings.xml><?xml version="1.0" encoding="utf-8"?>
<sst xmlns="http://schemas.openxmlformats.org/spreadsheetml/2006/main" count="73" uniqueCount="55">
  <si>
    <t>dnes</t>
  </si>
  <si>
    <t>nyní</t>
  </si>
  <si>
    <t>dnes constanta</t>
  </si>
  <si>
    <t>den</t>
  </si>
  <si>
    <t>měsíc</t>
  </si>
  <si>
    <t>rok</t>
  </si>
  <si>
    <t>datum</t>
  </si>
  <si>
    <t>hodina</t>
  </si>
  <si>
    <t>minuta</t>
  </si>
  <si>
    <t>sekunda</t>
  </si>
  <si>
    <t>čas</t>
  </si>
  <si>
    <t>ctrl+;</t>
  </si>
  <si>
    <t>den týdne</t>
  </si>
  <si>
    <t>datum a čas</t>
  </si>
  <si>
    <t xml:space="preserve"> =DATUM(D8;D7;D6)</t>
  </si>
  <si>
    <t xml:space="preserve"> =DEN(D3)</t>
  </si>
  <si>
    <t xml:space="preserve"> =DNES()</t>
  </si>
  <si>
    <t xml:space="preserve"> =NYNÍ()</t>
  </si>
  <si>
    <t xml:space="preserve"> =MĚSÍC(D3)</t>
  </si>
  <si>
    <t xml:space="preserve"> =ROK(D3)</t>
  </si>
  <si>
    <t xml:space="preserve"> =DENTÝDNE(D10;2)</t>
  </si>
  <si>
    <t xml:space="preserve"> =HODINA(D3)</t>
  </si>
  <si>
    <t xml:space="preserve"> =MINUTA(D3)</t>
  </si>
  <si>
    <t xml:space="preserve"> =SEKUNDA(D3)</t>
  </si>
  <si>
    <t xml:space="preserve"> =ČAS(D13;D14;D15)</t>
  </si>
  <si>
    <t>Doplňte funkce do sloupce C a upravte celé jako tabulku.</t>
  </si>
  <si>
    <t>Petr</t>
  </si>
  <si>
    <t>Adam</t>
  </si>
  <si>
    <t>Lenka</t>
  </si>
  <si>
    <t>Datum</t>
  </si>
  <si>
    <t xml:space="preserve"> =YEARFRAC(DNES();B2)</t>
  </si>
  <si>
    <t>Radka</t>
  </si>
  <si>
    <t>Alena</t>
  </si>
  <si>
    <t>Ivan</t>
  </si>
  <si>
    <t>Stáří</t>
  </si>
  <si>
    <t>Den v týdnu</t>
  </si>
  <si>
    <t>Zbývá dnů</t>
  </si>
  <si>
    <t>Termín odevzdání</t>
  </si>
  <si>
    <t xml:space="preserve"> =E3-DNES()  formát buňky E4 je číslo</t>
  </si>
  <si>
    <t>Počet dnů</t>
  </si>
  <si>
    <t>od dnešního dne</t>
  </si>
  <si>
    <t>Dopočítejte Den v týdnu a zbývá dnů od dnešního dne a dnů ve vaší tabulce.</t>
  </si>
  <si>
    <t>Doplňte tabulku libovolnými, různými datumy (odlišnými od předchozího listu a z minulosti).</t>
  </si>
  <si>
    <t>Dopočítejte stáří všech v tabulce podle vzoru, tak aby bylo automaticky aktualizované. Doplňte alespoň 4 další záznamy.</t>
  </si>
  <si>
    <t xml:space="preserve"> =DENTÝDNE(A4;2)</t>
  </si>
  <si>
    <t>aktualizované datum ~ dynamické</t>
  </si>
  <si>
    <t>neměnná konstanta ~ konstantní</t>
  </si>
  <si>
    <t>doplňte datum z blízké budoucnosti</t>
  </si>
  <si>
    <t>Sloupec1</t>
  </si>
  <si>
    <t>Sloupec2</t>
  </si>
  <si>
    <t>Sloupec3</t>
  </si>
  <si>
    <t>Tomáš</t>
  </si>
  <si>
    <t>Jaroslav</t>
  </si>
  <si>
    <t>Jakub</t>
  </si>
  <si>
    <t>Matyáš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</si>
</sst>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color rgb="FF0070C0"/>
      <name val="Calibri"/>
      <family val="2"/>
      <charset val="238"/>
      <scheme val="minor"/>
    </font>
    <font>
      <sz val="11"/>
      <color rgb="FF00B05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22" fontId="0" fillId="0" borderId="0" xfId="0" applyNumberFormat="1"/>
    <xf numFmtId="18" fontId="0" fillId="0" borderId="0" xfId="0" applyNumberFormat="1"/>
    <xf numFmtId="14" fontId="2" fillId="0" borderId="0" xfId="0" applyNumberFormat="1" applyFont="1"/>
    <xf numFmtId="22" fontId="2" fillId="0" borderId="0" xfId="0" applyNumberFormat="1" applyFont="1"/>
    <xf numFmtId="0" fontId="2" fillId="0" borderId="0" xfId="0" applyFont="1"/>
    <xf numFmtId="18" fontId="2" fillId="0" borderId="0" xfId="0" applyNumberFormat="1" applyFont="1"/>
    <xf numFmtId="0" fontId="3" fillId="0" borderId="0" xfId="0" applyFont="1"/>
    <xf numFmtId="18" fontId="3" fillId="0" borderId="0" xfId="0" applyNumberFormat="1" applyFont="1"/>
    <xf numFmtId="0" fontId="1" fillId="0" borderId="0" xfId="0" applyFont="1"/>
    <xf numFmtId="2" fontId="3" fillId="0" borderId="0" xfId="0" applyNumberFormat="1" applyFont="1"/>
    <xf numFmtId="0" fontId="0" fillId="2" borderId="1" xfId="0" applyFill="1" applyBorder="1"/>
    <xf numFmtId="1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" fontId="0" fillId="0" borderId="1" xfId="0" applyNumberFormat="1" applyBorder="1"/>
    <xf numFmtId="14" fontId="2" fillId="0" borderId="1" xfId="0" applyNumberFormat="1" applyFont="1" applyBorder="1"/>
    <xf numFmtId="49" fontId="0" fillId="0" borderId="0" xfId="0" applyNumberFormat="1"/>
    <xf numFmtId="2" fontId="0" fillId="0" borderId="1" xfId="0" applyNumberFormat="1" applyBorder="1"/>
    <xf numFmtId="0" fontId="0" fillId="3" borderId="2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4" borderId="4" xfId="0" applyFill="1" applyBorder="1"/>
    <xf numFmtId="14" fontId="0" fillId="4" borderId="5" xfId="0" applyNumberFormat="1" applyFill="1" applyBorder="1"/>
    <xf numFmtId="22" fontId="0" fillId="4" borderId="5" xfId="0" applyNumberFormat="1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3" xfId="0" applyFill="1" applyBorder="1"/>
    <xf numFmtId="14" fontId="0" fillId="4" borderId="7" xfId="0" applyNumberFormat="1" applyFill="1" applyBorder="1"/>
    <xf numFmtId="0" fontId="0" fillId="4" borderId="8" xfId="0" applyFill="1" applyBorder="1"/>
    <xf numFmtId="0" fontId="0" fillId="4" borderId="9" xfId="0" applyFill="1" applyBorder="1"/>
    <xf numFmtId="18" fontId="0" fillId="4" borderId="10" xfId="0" applyNumberFormat="1" applyFill="1" applyBorder="1"/>
    <xf numFmtId="14" fontId="0" fillId="0" borderId="3" xfId="0" applyNumberFormat="1" applyBorder="1"/>
  </cellXfs>
  <cellStyles count="1">
    <cellStyle name="Normální" xfId="0" builtinId="0"/>
  </cellStyles>
  <dxfs count="6">
    <dxf>
      <fill>
        <patternFill patternType="solid">
          <fgColor indexed="64"/>
          <bgColor theme="8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346994-DA97-40CC-BE8A-E316728F8F13}" name="Tabulka2" displayName="Tabulka2" ref="A3:C18" totalsRowShown="0" headerRowBorderDxfId="4" tableBorderDxfId="5" totalsRowBorderDxfId="3">
  <autoFilter ref="A3:C18" xr:uid="{39346994-DA97-40CC-BE8A-E316728F8F13}"/>
  <tableColumns count="3">
    <tableColumn id="1" xr3:uid="{BA34229A-0C4E-4226-B9E4-CCD5DB808CCF}" name="Sloupec1" dataDxfId="2"/>
    <tableColumn id="2" xr3:uid="{B8DDB353-D820-4DA8-B6BD-C7557834329C}" name="Sloupec2" dataDxfId="1"/>
    <tableColumn id="3" xr3:uid="{B967534C-2E20-45CA-ACD5-918FEF997595}" name="Sloupec3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0688F-4C1F-4CAF-BCF6-230F5987E9A4}">
  <dimension ref="A1:N16"/>
  <sheetViews>
    <sheetView workbookViewId="0">
      <selection activeCell="J6" sqref="J6"/>
    </sheetView>
  </sheetViews>
  <sheetFormatPr defaultRowHeight="15" x14ac:dyDescent="0.25"/>
  <cols>
    <col min="4" max="4" width="15" bestFit="1" customWidth="1"/>
    <col min="5" max="5" width="9.85546875" bestFit="1" customWidth="1"/>
    <col min="6" max="6" width="8.7109375" style="8"/>
    <col min="11" max="11" width="14" bestFit="1" customWidth="1"/>
  </cols>
  <sheetData>
    <row r="1" spans="1:14" x14ac:dyDescent="0.25">
      <c r="A1" t="s">
        <v>0</v>
      </c>
      <c r="D1" s="4">
        <f ca="1">TODAY()</f>
        <v>45992</v>
      </c>
      <c r="F1" s="8" t="s">
        <v>16</v>
      </c>
      <c r="H1" t="s">
        <v>45</v>
      </c>
    </row>
    <row r="2" spans="1:14" x14ac:dyDescent="0.25">
      <c r="A2" t="s">
        <v>2</v>
      </c>
      <c r="D2" s="4">
        <v>43913</v>
      </c>
      <c r="F2" s="8" t="s">
        <v>11</v>
      </c>
      <c r="H2" t="s">
        <v>46</v>
      </c>
    </row>
    <row r="3" spans="1:14" x14ac:dyDescent="0.25">
      <c r="A3" t="s">
        <v>1</v>
      </c>
      <c r="D3" s="5">
        <f ca="1">NOW()</f>
        <v>45992.535354976855</v>
      </c>
      <c r="F3" s="8" t="s">
        <v>17</v>
      </c>
      <c r="H3" t="s">
        <v>13</v>
      </c>
    </row>
    <row r="4" spans="1:14" x14ac:dyDescent="0.25">
      <c r="D4" s="5"/>
      <c r="K4" s="1"/>
      <c r="N4" s="19"/>
    </row>
    <row r="5" spans="1:14" x14ac:dyDescent="0.25">
      <c r="D5" s="6"/>
      <c r="K5" s="1"/>
    </row>
    <row r="6" spans="1:14" x14ac:dyDescent="0.25">
      <c r="A6" t="s">
        <v>3</v>
      </c>
      <c r="D6" s="6">
        <f ca="1">DAY(D3)</f>
        <v>1</v>
      </c>
      <c r="F6" s="8" t="s">
        <v>15</v>
      </c>
      <c r="K6" s="2"/>
    </row>
    <row r="7" spans="1:14" x14ac:dyDescent="0.25">
      <c r="A7" t="s">
        <v>4</v>
      </c>
      <c r="D7" s="6">
        <f ca="1">MONTH(D3)</f>
        <v>12</v>
      </c>
      <c r="F7" s="8" t="s">
        <v>18</v>
      </c>
    </row>
    <row r="8" spans="1:14" x14ac:dyDescent="0.25">
      <c r="A8" t="s">
        <v>5</v>
      </c>
      <c r="D8" s="6">
        <f ca="1">YEAR(D3)</f>
        <v>2025</v>
      </c>
      <c r="F8" s="8" t="s">
        <v>19</v>
      </c>
    </row>
    <row r="9" spans="1:14" x14ac:dyDescent="0.25">
      <c r="D9" s="6"/>
    </row>
    <row r="10" spans="1:14" x14ac:dyDescent="0.25">
      <c r="A10" t="s">
        <v>6</v>
      </c>
      <c r="D10" s="4">
        <f ca="1">DATE(D8,D7,D6)</f>
        <v>45992</v>
      </c>
      <c r="F10" s="8" t="s">
        <v>14</v>
      </c>
    </row>
    <row r="11" spans="1:14" x14ac:dyDescent="0.25">
      <c r="A11" t="s">
        <v>12</v>
      </c>
      <c r="D11" s="6">
        <f ca="1">WEEKDAY(D10,2)</f>
        <v>1</v>
      </c>
      <c r="F11" s="8" t="s">
        <v>20</v>
      </c>
    </row>
    <row r="12" spans="1:14" x14ac:dyDescent="0.25">
      <c r="D12" s="6"/>
    </row>
    <row r="13" spans="1:14" x14ac:dyDescent="0.25">
      <c r="A13" t="s">
        <v>7</v>
      </c>
      <c r="D13" s="6">
        <f ca="1">HOUR(D3)</f>
        <v>12</v>
      </c>
      <c r="F13" s="8" t="s">
        <v>21</v>
      </c>
    </row>
    <row r="14" spans="1:14" x14ac:dyDescent="0.25">
      <c r="A14" t="s">
        <v>8</v>
      </c>
      <c r="D14" s="6">
        <f ca="1">MINUTE(D3)</f>
        <v>50</v>
      </c>
      <c r="F14" s="8" t="s">
        <v>22</v>
      </c>
    </row>
    <row r="15" spans="1:14" x14ac:dyDescent="0.25">
      <c r="A15" t="s">
        <v>9</v>
      </c>
      <c r="D15" s="6">
        <f ca="1">SECOND(D3)</f>
        <v>55</v>
      </c>
      <c r="F15" s="8" t="s">
        <v>23</v>
      </c>
    </row>
    <row r="16" spans="1:14" x14ac:dyDescent="0.25">
      <c r="A16" t="s">
        <v>10</v>
      </c>
      <c r="D16" s="7">
        <f ca="1">TIME(D13,D14,D15)</f>
        <v>0.53535879629629635</v>
      </c>
      <c r="F16" s="9" t="s">
        <v>24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FA851-8869-4EA4-B09D-1AC51B49C36A}">
  <dimension ref="A1:F18"/>
  <sheetViews>
    <sheetView workbookViewId="0">
      <selection activeCell="G16" sqref="G16"/>
    </sheetView>
  </sheetViews>
  <sheetFormatPr defaultRowHeight="15" x14ac:dyDescent="0.25"/>
  <cols>
    <col min="1" max="2" width="11.140625" customWidth="1"/>
    <col min="3" max="3" width="15.28515625" bestFit="1" customWidth="1"/>
    <col min="4" max="4" width="15" bestFit="1" customWidth="1"/>
    <col min="5" max="5" width="9.85546875" bestFit="1" customWidth="1"/>
  </cols>
  <sheetData>
    <row r="1" spans="1:4" x14ac:dyDescent="0.25">
      <c r="A1" s="10" t="s">
        <v>25</v>
      </c>
    </row>
    <row r="3" spans="1:4" x14ac:dyDescent="0.25">
      <c r="A3" s="29" t="s">
        <v>48</v>
      </c>
      <c r="B3" s="30" t="s">
        <v>49</v>
      </c>
      <c r="C3" s="31" t="s">
        <v>50</v>
      </c>
      <c r="D3" s="1"/>
    </row>
    <row r="4" spans="1:4" x14ac:dyDescent="0.25">
      <c r="A4" s="25" t="s">
        <v>0</v>
      </c>
      <c r="B4" s="24"/>
      <c r="C4" s="26">
        <f ca="1">TODAY()</f>
        <v>45992</v>
      </c>
      <c r="D4" s="1"/>
    </row>
    <row r="5" spans="1:4" x14ac:dyDescent="0.25">
      <c r="A5" s="25" t="s">
        <v>2</v>
      </c>
      <c r="B5" s="24"/>
      <c r="C5" s="26">
        <v>45992</v>
      </c>
      <c r="D5" s="2"/>
    </row>
    <row r="6" spans="1:4" x14ac:dyDescent="0.25">
      <c r="A6" s="25" t="s">
        <v>1</v>
      </c>
      <c r="B6" s="24"/>
      <c r="C6" s="27">
        <f ca="1">NOW()</f>
        <v>45992.535354976855</v>
      </c>
    </row>
    <row r="7" spans="1:4" x14ac:dyDescent="0.25">
      <c r="A7" s="25"/>
      <c r="B7" s="24"/>
      <c r="C7" s="28"/>
    </row>
    <row r="8" spans="1:4" x14ac:dyDescent="0.25">
      <c r="A8" s="25" t="s">
        <v>3</v>
      </c>
      <c r="B8" s="24"/>
      <c r="C8" s="28">
        <f ca="1">DAY(C4)</f>
        <v>1</v>
      </c>
    </row>
    <row r="9" spans="1:4" x14ac:dyDescent="0.25">
      <c r="A9" s="25" t="s">
        <v>4</v>
      </c>
      <c r="B9" s="24"/>
      <c r="C9" s="28">
        <f ca="1">MONTH(C4)</f>
        <v>12</v>
      </c>
    </row>
    <row r="10" spans="1:4" x14ac:dyDescent="0.25">
      <c r="A10" s="25" t="s">
        <v>5</v>
      </c>
      <c r="B10" s="24"/>
      <c r="C10" s="28">
        <f ca="1">YEAR(C4)</f>
        <v>2025</v>
      </c>
    </row>
    <row r="11" spans="1:4" x14ac:dyDescent="0.25">
      <c r="A11" s="25"/>
      <c r="B11" s="24"/>
      <c r="C11" s="28"/>
      <c r="D11" s="1"/>
    </row>
    <row r="12" spans="1:4" x14ac:dyDescent="0.25">
      <c r="A12" s="25" t="s">
        <v>6</v>
      </c>
      <c r="B12" s="24"/>
      <c r="C12" s="26">
        <f ca="1">DATE(C10,C9,C8)</f>
        <v>45992</v>
      </c>
    </row>
    <row r="13" spans="1:4" x14ac:dyDescent="0.25">
      <c r="A13" s="25" t="s">
        <v>12</v>
      </c>
      <c r="B13" s="24"/>
      <c r="C13" s="28">
        <f ca="1">WEEKDAY(C4)</f>
        <v>2</v>
      </c>
    </row>
    <row r="14" spans="1:4" x14ac:dyDescent="0.25">
      <c r="A14" s="25"/>
      <c r="B14" s="24"/>
      <c r="C14" s="28"/>
    </row>
    <row r="15" spans="1:4" x14ac:dyDescent="0.25">
      <c r="A15" s="25" t="s">
        <v>7</v>
      </c>
      <c r="B15" s="24"/>
      <c r="C15" s="28">
        <f ca="1">HOUR(C6)</f>
        <v>12</v>
      </c>
    </row>
    <row r="16" spans="1:4" x14ac:dyDescent="0.25">
      <c r="A16" s="25" t="s">
        <v>8</v>
      </c>
      <c r="B16" s="24"/>
      <c r="C16" s="28">
        <f ca="1">MINUTE(C6)</f>
        <v>50</v>
      </c>
    </row>
    <row r="17" spans="1:6" x14ac:dyDescent="0.25">
      <c r="A17" s="25" t="s">
        <v>9</v>
      </c>
      <c r="B17" s="24"/>
      <c r="C17" s="28">
        <f ca="1">SECOND(C6)</f>
        <v>55</v>
      </c>
      <c r="D17" s="3"/>
      <c r="F17" s="3"/>
    </row>
    <row r="18" spans="1:6" x14ac:dyDescent="0.25">
      <c r="A18" s="32" t="s">
        <v>10</v>
      </c>
      <c r="B18" s="33"/>
      <c r="C18" s="34">
        <f ca="1">TIME(C15,C16,C17)</f>
        <v>0.53535879629629635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A1257-F83D-4CF0-9B82-A9FEADFA1736}">
  <dimension ref="A1:D13"/>
  <sheetViews>
    <sheetView workbookViewId="0">
      <selection activeCell="F12" sqref="F12"/>
    </sheetView>
  </sheetViews>
  <sheetFormatPr defaultRowHeight="15" x14ac:dyDescent="0.25"/>
  <cols>
    <col min="2" max="2" width="10.140625" bestFit="1" customWidth="1"/>
    <col min="3" max="3" width="9.85546875" bestFit="1" customWidth="1"/>
  </cols>
  <sheetData>
    <row r="1" spans="1:4" x14ac:dyDescent="0.25">
      <c r="A1" s="10" t="s">
        <v>43</v>
      </c>
    </row>
    <row r="3" spans="1:4" x14ac:dyDescent="0.25">
      <c r="A3" s="12"/>
      <c r="B3" s="12" t="s">
        <v>29</v>
      </c>
      <c r="C3" s="12" t="s">
        <v>34</v>
      </c>
    </row>
    <row r="4" spans="1:4" x14ac:dyDescent="0.25">
      <c r="A4" s="14" t="s">
        <v>26</v>
      </c>
      <c r="B4" s="13">
        <v>23566</v>
      </c>
      <c r="C4" s="20">
        <f ca="1">YEARFRAC(TODAY(),B4)</f>
        <v>61.397222222222226</v>
      </c>
      <c r="D4" s="11" t="s">
        <v>30</v>
      </c>
    </row>
    <row r="5" spans="1:4" x14ac:dyDescent="0.25">
      <c r="A5" s="14" t="s">
        <v>27</v>
      </c>
      <c r="B5" s="13">
        <v>28711</v>
      </c>
      <c r="C5" s="20">
        <f t="shared" ref="C5:C13" ca="1" si="0">YEARFRAC(TODAY(),B5)</f>
        <v>47.31111111111111</v>
      </c>
    </row>
    <row r="6" spans="1:4" x14ac:dyDescent="0.25">
      <c r="A6" s="14" t="s">
        <v>28</v>
      </c>
      <c r="B6" s="13">
        <v>20444</v>
      </c>
      <c r="C6" s="20">
        <f t="shared" ca="1" si="0"/>
        <v>69.944444444444443</v>
      </c>
    </row>
    <row r="7" spans="1:4" x14ac:dyDescent="0.25">
      <c r="A7" s="14" t="s">
        <v>31</v>
      </c>
      <c r="B7" s="13">
        <v>9</v>
      </c>
      <c r="C7" s="20">
        <f t="shared" ca="1" si="0"/>
        <v>125.89444444444445</v>
      </c>
    </row>
    <row r="8" spans="1:4" x14ac:dyDescent="0.25">
      <c r="A8" s="14" t="s">
        <v>32</v>
      </c>
      <c r="B8" s="13">
        <v>35949</v>
      </c>
      <c r="C8" s="20">
        <f t="shared" ca="1" si="0"/>
        <v>27.494444444444444</v>
      </c>
    </row>
    <row r="9" spans="1:4" x14ac:dyDescent="0.25">
      <c r="A9" s="14" t="s">
        <v>33</v>
      </c>
      <c r="B9" s="13">
        <v>36752</v>
      </c>
      <c r="C9" s="20">
        <f t="shared" ca="1" si="0"/>
        <v>25.297222222222221</v>
      </c>
    </row>
    <row r="10" spans="1:4" x14ac:dyDescent="0.25">
      <c r="A10" s="14" t="s">
        <v>51</v>
      </c>
      <c r="B10" s="13">
        <v>31923</v>
      </c>
      <c r="C10" s="14">
        <f t="shared" ca="1" si="0"/>
        <v>38.513888888888886</v>
      </c>
    </row>
    <row r="11" spans="1:4" x14ac:dyDescent="0.25">
      <c r="A11" s="14" t="s">
        <v>52</v>
      </c>
      <c r="B11" s="13">
        <v>34559</v>
      </c>
      <c r="C11" s="14">
        <f t="shared" ca="1" si="0"/>
        <v>31.3</v>
      </c>
    </row>
    <row r="12" spans="1:4" x14ac:dyDescent="0.25">
      <c r="A12" s="14" t="s">
        <v>53</v>
      </c>
      <c r="B12" s="13">
        <v>23695</v>
      </c>
      <c r="C12" s="14">
        <f t="shared" ca="1" si="0"/>
        <v>61.047222222222224</v>
      </c>
    </row>
    <row r="13" spans="1:4" x14ac:dyDescent="0.25">
      <c r="A13" s="14" t="s">
        <v>54</v>
      </c>
      <c r="B13" s="13">
        <v>38697</v>
      </c>
      <c r="C13" s="14">
        <f t="shared" ca="1" si="0"/>
        <v>19.972222222222221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32DAB-FC42-4966-BFB0-BC2A081E0D80}">
  <dimension ref="A2:I8"/>
  <sheetViews>
    <sheetView workbookViewId="0">
      <selection activeCell="C6" sqref="C6"/>
    </sheetView>
  </sheetViews>
  <sheetFormatPr defaultRowHeight="15" x14ac:dyDescent="0.25"/>
  <cols>
    <col min="1" max="1" width="11" customWidth="1"/>
    <col min="2" max="2" width="10.85546875" bestFit="1" customWidth="1"/>
    <col min="4" max="4" width="15.85546875" bestFit="1" customWidth="1"/>
    <col min="5" max="5" width="10.140625" bestFit="1" customWidth="1"/>
  </cols>
  <sheetData>
    <row r="2" spans="1:9" x14ac:dyDescent="0.25">
      <c r="B2" s="8" t="s">
        <v>44</v>
      </c>
    </row>
    <row r="3" spans="1:9" x14ac:dyDescent="0.25">
      <c r="A3" s="12" t="s">
        <v>29</v>
      </c>
      <c r="B3" s="12" t="s">
        <v>35</v>
      </c>
      <c r="D3" s="12" t="s">
        <v>37</v>
      </c>
      <c r="E3" s="18">
        <v>45995</v>
      </c>
      <c r="F3" s="21" t="s">
        <v>47</v>
      </c>
      <c r="G3" s="22"/>
      <c r="H3" s="22"/>
      <c r="I3" s="22"/>
    </row>
    <row r="4" spans="1:9" x14ac:dyDescent="0.25">
      <c r="A4" s="16">
        <v>44078</v>
      </c>
      <c r="B4" s="15">
        <f>WEEKDAY(A4)</f>
        <v>6</v>
      </c>
      <c r="D4" s="12" t="s">
        <v>36</v>
      </c>
      <c r="E4" s="17">
        <f ca="1">E3-TODAY()</f>
        <v>3</v>
      </c>
      <c r="F4" s="8" t="s">
        <v>38</v>
      </c>
    </row>
    <row r="5" spans="1:9" x14ac:dyDescent="0.25">
      <c r="A5" s="16">
        <v>43823</v>
      </c>
      <c r="B5" s="15">
        <f t="shared" ref="B5:B8" si="0">WEEKDAY(A5)</f>
        <v>3</v>
      </c>
    </row>
    <row r="6" spans="1:9" x14ac:dyDescent="0.25">
      <c r="A6" s="16">
        <v>42525</v>
      </c>
      <c r="B6" s="15">
        <f t="shared" si="0"/>
        <v>7</v>
      </c>
    </row>
    <row r="7" spans="1:9" x14ac:dyDescent="0.25">
      <c r="A7" s="16">
        <v>33970</v>
      </c>
      <c r="B7" s="15">
        <f t="shared" si="0"/>
        <v>6</v>
      </c>
    </row>
    <row r="8" spans="1:9" x14ac:dyDescent="0.25">
      <c r="A8" s="16">
        <v>29354</v>
      </c>
      <c r="B8" s="15">
        <f t="shared" si="0"/>
        <v>3</v>
      </c>
    </row>
  </sheetData>
  <mergeCells count="1">
    <mergeCell ref="F3:I3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27154-5B7A-48CA-A34C-C7AE31AD4C57}">
  <dimension ref="A1:J13"/>
  <sheetViews>
    <sheetView tabSelected="1" workbookViewId="0">
      <selection activeCell="J16" sqref="J16"/>
    </sheetView>
  </sheetViews>
  <sheetFormatPr defaultRowHeight="15" x14ac:dyDescent="0.25"/>
  <cols>
    <col min="1" max="1" width="9.85546875" bestFit="1" customWidth="1"/>
    <col min="2" max="2" width="10.140625" bestFit="1" customWidth="1"/>
    <col min="3" max="3" width="10.85546875" bestFit="1" customWidth="1"/>
    <col min="5" max="5" width="9.140625" bestFit="1" customWidth="1"/>
    <col min="6" max="6" width="19.5703125" bestFit="1" customWidth="1"/>
    <col min="7" max="7" width="10.140625" bestFit="1" customWidth="1"/>
  </cols>
  <sheetData>
    <row r="1" spans="1:10" x14ac:dyDescent="0.25">
      <c r="A1" s="10" t="s">
        <v>42</v>
      </c>
    </row>
    <row r="2" spans="1:10" x14ac:dyDescent="0.25">
      <c r="A2" s="10" t="s">
        <v>41</v>
      </c>
    </row>
    <row r="4" spans="1:10" x14ac:dyDescent="0.25">
      <c r="F4" s="12" t="s">
        <v>37</v>
      </c>
      <c r="G4" s="23" t="s">
        <v>47</v>
      </c>
      <c r="H4" s="23"/>
      <c r="I4" s="23"/>
      <c r="J4" s="23"/>
    </row>
    <row r="5" spans="1:10" x14ac:dyDescent="0.25">
      <c r="A5" s="12" t="s">
        <v>39</v>
      </c>
      <c r="B5" s="12" t="s">
        <v>29</v>
      </c>
      <c r="C5" s="12" t="s">
        <v>35</v>
      </c>
      <c r="E5" s="12" t="s">
        <v>36</v>
      </c>
      <c r="F5" s="15" t="s">
        <v>40</v>
      </c>
      <c r="G5" s="35">
        <v>46001</v>
      </c>
    </row>
    <row r="6" spans="1:10" x14ac:dyDescent="0.25">
      <c r="A6" s="15">
        <v>1</v>
      </c>
      <c r="B6" s="13">
        <v>38668</v>
      </c>
      <c r="C6" s="14">
        <f>WEEKDAY(B6)</f>
        <v>7</v>
      </c>
      <c r="F6" s="15">
        <v>1</v>
      </c>
      <c r="G6" s="13">
        <f>G5+1</f>
        <v>46002</v>
      </c>
    </row>
    <row r="7" spans="1:10" x14ac:dyDescent="0.25">
      <c r="A7" s="15">
        <v>2</v>
      </c>
      <c r="B7" s="13">
        <v>31977</v>
      </c>
      <c r="C7" s="14">
        <f t="shared" ref="C7:C13" si="0">WEEKDAY(B7)</f>
        <v>1</v>
      </c>
      <c r="F7" s="15">
        <v>2</v>
      </c>
      <c r="G7" s="13">
        <f t="shared" ref="G7:G12" si="1">G6+1</f>
        <v>46003</v>
      </c>
    </row>
    <row r="8" spans="1:10" x14ac:dyDescent="0.25">
      <c r="A8" s="15">
        <v>3</v>
      </c>
      <c r="B8" s="13">
        <v>19919</v>
      </c>
      <c r="C8" s="14">
        <f t="shared" si="0"/>
        <v>4</v>
      </c>
      <c r="F8" s="15">
        <v>3</v>
      </c>
      <c r="G8" s="13">
        <f t="shared" si="1"/>
        <v>46004</v>
      </c>
    </row>
    <row r="9" spans="1:10" x14ac:dyDescent="0.25">
      <c r="A9" s="15">
        <v>4</v>
      </c>
      <c r="B9" s="13">
        <v>37997</v>
      </c>
      <c r="C9" s="14">
        <f t="shared" si="0"/>
        <v>1</v>
      </c>
      <c r="F9" s="15">
        <v>4</v>
      </c>
      <c r="G9" s="13">
        <f t="shared" si="1"/>
        <v>46005</v>
      </c>
    </row>
    <row r="10" spans="1:10" x14ac:dyDescent="0.25">
      <c r="A10" s="15">
        <v>5</v>
      </c>
      <c r="B10" s="13">
        <v>37145</v>
      </c>
      <c r="C10" s="14">
        <f t="shared" si="0"/>
        <v>3</v>
      </c>
      <c r="F10" s="15">
        <v>5</v>
      </c>
      <c r="G10" s="13">
        <f t="shared" si="1"/>
        <v>46006</v>
      </c>
    </row>
    <row r="11" spans="1:10" x14ac:dyDescent="0.25">
      <c r="A11" s="15">
        <v>6</v>
      </c>
      <c r="B11" s="13">
        <v>38266</v>
      </c>
      <c r="C11" s="14">
        <f t="shared" si="0"/>
        <v>4</v>
      </c>
      <c r="F11" s="15">
        <v>6</v>
      </c>
      <c r="G11" s="13">
        <f t="shared" si="1"/>
        <v>46007</v>
      </c>
    </row>
    <row r="12" spans="1:10" x14ac:dyDescent="0.25">
      <c r="A12" s="15">
        <v>7</v>
      </c>
      <c r="B12" s="13">
        <v>35887</v>
      </c>
      <c r="C12" s="14">
        <f t="shared" si="0"/>
        <v>5</v>
      </c>
      <c r="F12" s="15">
        <v>7</v>
      </c>
      <c r="G12" s="13">
        <f t="shared" si="1"/>
        <v>46008</v>
      </c>
    </row>
    <row r="13" spans="1:10" x14ac:dyDescent="0.25">
      <c r="A13" s="15">
        <v>8</v>
      </c>
      <c r="B13" s="13">
        <v>16758</v>
      </c>
      <c r="C13" s="14">
        <f t="shared" si="0"/>
        <v>7</v>
      </c>
      <c r="F13" s="15">
        <v>8</v>
      </c>
      <c r="G13" s="13">
        <f>G12+1</f>
        <v>46009</v>
      </c>
    </row>
  </sheetData>
  <mergeCells count="1">
    <mergeCell ref="G4:J4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9746E8B3FF2B2428A148D03C368DE4A" ma:contentTypeVersion="13" ma:contentTypeDescription="Vytvoří nový dokument" ma:contentTypeScope="" ma:versionID="9d94cbd9914ef4824ad723384dcde04a">
  <xsd:schema xmlns:xsd="http://www.w3.org/2001/XMLSchema" xmlns:xs="http://www.w3.org/2001/XMLSchema" xmlns:p="http://schemas.microsoft.com/office/2006/metadata/properties" xmlns:ns3="ea85f2e0-d32a-4312-be8a-c00aff2510cf" xmlns:ns4="c52afa11-cb76-49c2-a807-b2856752eead" targetNamespace="http://schemas.microsoft.com/office/2006/metadata/properties" ma:root="true" ma:fieldsID="f78cee60d32ecf43d3cd1d8f83bcfaea" ns3:_="" ns4:_="">
    <xsd:import namespace="ea85f2e0-d32a-4312-be8a-c00aff2510cf"/>
    <xsd:import namespace="c52afa11-cb76-49c2-a807-b2856752eea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85f2e0-d32a-4312-be8a-c00aff2510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2afa11-cb76-49c2-a807-b2856752eea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5A6B14-6730-4B0B-A6ED-ABE48C2D32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85f2e0-d32a-4312-be8a-c00aff2510cf"/>
    <ds:schemaRef ds:uri="c52afa11-cb76-49c2-a807-b2856752ee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F762F0-2C03-4449-864C-E64CCC53C586}">
  <ds:schemaRefs>
    <ds:schemaRef ds:uri="http://purl.org/dc/elements/1.1/"/>
    <ds:schemaRef ds:uri="http://schemas.microsoft.com/office/2006/metadata/properties"/>
    <ds:schemaRef ds:uri="c52afa11-cb76-49c2-a807-b2856752eead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ea85f2e0-d32a-4312-be8a-c00aff2510cf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DA24644-666C-4214-AA1F-44E78D9A404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5</vt:i4>
      </vt:variant>
    </vt:vector>
  </HeadingPairs>
  <TitlesOfParts>
    <vt:vector size="5" baseType="lpstr">
      <vt:lpstr>Datumové fce</vt:lpstr>
      <vt:lpstr>ÚKOL 1</vt:lpstr>
      <vt:lpstr>Výpočet stáří</vt:lpstr>
      <vt:lpstr>Odpočet dnů</vt:lpstr>
      <vt:lpstr>ÚKOL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Votavová Gabriela</dc:creator>
  <cp:lastModifiedBy>Jan Syrovec</cp:lastModifiedBy>
  <dcterms:created xsi:type="dcterms:W3CDTF">2020-03-23T14:07:47Z</dcterms:created>
  <dcterms:modified xsi:type="dcterms:W3CDTF">2025-12-01T11:51:17Z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0x01010019746E8B3FF2B2428A148D03C368DE4A</vt:lpwstr>
  </property>
</Properties>
</file>