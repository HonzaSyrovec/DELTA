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Sy\Desktop\DELTA PROJEKTY\WWW\2. roč\zadání\"/>
    </mc:Choice>
  </mc:AlternateContent>
  <xr:revisionPtr revIDLastSave="0" documentId="8_{88DB6236-2EC1-41CE-8FBE-DDE81A6D60F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A; Nebo" sheetId="6" r:id="rId1"/>
    <sheet name="A; Nebo2" sheetId="4" r:id="rId2"/>
    <sheet name="statistické funkce" sheetId="9" r:id="rId3"/>
    <sheet name="Auta" sheetId="2" r:id="rId4"/>
  </sheets>
  <externalReferences>
    <externalReference r:id="rId5"/>
  </externalReferences>
  <definedNames>
    <definedName name="počet_návštěvníků">#REF!</definedName>
    <definedName name="sazba_daně">'[1]závislost vzorců, pojm. oblasti'!$G$2</definedName>
    <definedName name="vstupné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" l="1"/>
  <c r="D12" i="2"/>
  <c r="B12" i="2"/>
  <c r="C11" i="2"/>
  <c r="D11" i="2"/>
  <c r="B11" i="2"/>
  <c r="H14" i="9"/>
  <c r="H13" i="9"/>
  <c r="H12" i="9"/>
  <c r="H11" i="9"/>
  <c r="H10" i="9"/>
  <c r="H8" i="9"/>
  <c r="H7" i="9"/>
  <c r="H6" i="9"/>
  <c r="H5" i="9"/>
  <c r="F7" i="4" a="1"/>
  <c r="F7" i="4"/>
  <c r="F8" i="4" a="1"/>
  <c r="F8" i="4"/>
  <c r="F9" i="4" a="1"/>
  <c r="F9" i="4"/>
  <c r="F10" i="4" a="1"/>
  <c r="F10" i="4"/>
  <c r="F6" i="4" a="1"/>
  <c r="F6" i="4" s="1"/>
  <c r="G7" i="4" a="1"/>
  <c r="G7" i="4" s="1"/>
  <c r="G8" i="4" a="1"/>
  <c r="G8" i="4" s="1"/>
  <c r="G9" i="4" a="1"/>
  <c r="G9" i="4" s="1"/>
  <c r="G10" i="4" a="1"/>
  <c r="G10" i="4" s="1"/>
  <c r="G6" i="4" a="1"/>
  <c r="G6" i="4" s="1"/>
  <c r="D14" i="6"/>
  <c r="D15" i="6"/>
  <c r="D16" i="6"/>
  <c r="D17" i="6"/>
  <c r="D13" i="6"/>
  <c r="D5" i="6"/>
  <c r="D6" i="6"/>
  <c r="D7" i="6"/>
  <c r="D8" i="6"/>
  <c r="D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Honza</author>
  </authors>
  <commentList>
    <comment ref="D3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38"/>
          </rPr>
          <t>Funkce "A": pouze pokud prošli oběma koly</t>
        </r>
      </text>
    </comment>
    <comment ref="D1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38"/>
          </rPr>
          <t>Funkce "NEBO": Pokud uspěl na první či druhý pokus, pak ano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<sst xmlns="http://schemas.openxmlformats.org/spreadsheetml/2006/main" count="369" uniqueCount="327">
  <si>
    <t>Petr</t>
  </si>
  <si>
    <t>A</t>
  </si>
  <si>
    <t>Škoda</t>
  </si>
  <si>
    <t>Seat</t>
  </si>
  <si>
    <t>Fiat</t>
  </si>
  <si>
    <t>Opel</t>
  </si>
  <si>
    <t>Hyundai</t>
  </si>
  <si>
    <t>Honda</t>
  </si>
  <si>
    <t>Leden</t>
  </si>
  <si>
    <t>Únor</t>
  </si>
  <si>
    <t>Březen</t>
  </si>
  <si>
    <t>Prodej aut v kusech - 1. čtvrtletí</t>
  </si>
  <si>
    <t>M</t>
  </si>
  <si>
    <t>ČJ</t>
  </si>
  <si>
    <t>VT</t>
  </si>
  <si>
    <t>Z</t>
  </si>
  <si>
    <t>Samé 1?</t>
  </si>
  <si>
    <t>Je mezi známkami 4?</t>
  </si>
  <si>
    <t>Lucka</t>
  </si>
  <si>
    <t>Lenka</t>
  </si>
  <si>
    <t>Pavel</t>
  </si>
  <si>
    <t>Karel</t>
  </si>
  <si>
    <t>---</t>
  </si>
  <si>
    <t>ano</t>
  </si>
  <si>
    <t>Jiřina Vítězná</t>
  </si>
  <si>
    <t>ne</t>
  </si>
  <si>
    <t>Jana Krutinohá</t>
  </si>
  <si>
    <t>Petr Kučera</t>
  </si>
  <si>
    <t>Jiří Ohrabálek</t>
  </si>
  <si>
    <t>Jan Novotný</t>
  </si>
  <si>
    <t>Splnili? (stačí jeden úspěšný pokus)</t>
  </si>
  <si>
    <t>Druhý pokus</t>
  </si>
  <si>
    <t>První pokus</t>
  </si>
  <si>
    <t>NEBO</t>
  </si>
  <si>
    <t>Splněno v 1. i ve 2. kole?</t>
  </si>
  <si>
    <t>Druhé kolo</t>
  </si>
  <si>
    <t>První kolo</t>
  </si>
  <si>
    <t>Značka auta</t>
  </si>
  <si>
    <t>Kolikrát se prodalo více než 50 tisíc kusů</t>
  </si>
  <si>
    <t>Doplňte do šedých buněk text "PRAVDA" nebo "NEPRAVDA" pomocí vhodných funkcí.</t>
  </si>
  <si>
    <t xml:space="preserve">Součet položek prodeje, kdy prodej přesáhl 30 tisíc kusů </t>
  </si>
  <si>
    <t>Dopočítejte všechny hodnoty ve žlutých polích.</t>
  </si>
  <si>
    <t>Dopočítejte hodnoty v šedých buňkách, oddělte u všech čísel tisíce. Zadejte v oblasti B11:D11 vlastní formát "krát".</t>
  </si>
  <si>
    <t>Firma</t>
  </si>
  <si>
    <t>Hodnota</t>
  </si>
  <si>
    <t>Dopočítejte všechny hodnoty v tmavých buňkách</t>
  </si>
  <si>
    <t>Ing. Petr Pavlíček</t>
  </si>
  <si>
    <t>Základem je oblast hodnot (A2:B291)</t>
  </si>
  <si>
    <t>Ing. Vlastimil Kobliha</t>
  </si>
  <si>
    <t>Jiří Švarc</t>
  </si>
  <si>
    <t>Dopočítej hodnoty</t>
  </si>
  <si>
    <t>Maximum</t>
  </si>
  <si>
    <t>Jaroslav Novotný</t>
  </si>
  <si>
    <t>Minimum</t>
  </si>
  <si>
    <t>Roman Zapletal</t>
  </si>
  <si>
    <t>Počet čísel</t>
  </si>
  <si>
    <t>Bohumil Cikán</t>
  </si>
  <si>
    <t>Počet buněk obsazených</t>
  </si>
  <si>
    <t>J.M.M.V.</t>
  </si>
  <si>
    <t>Hana Brabcová</t>
  </si>
  <si>
    <t>Počet 1 (jedniček)</t>
  </si>
  <si>
    <t>Hradecká technická kancelář</t>
  </si>
  <si>
    <t>Počet 7</t>
  </si>
  <si>
    <t>Libor Veselý</t>
  </si>
  <si>
    <t>Průměr</t>
  </si>
  <si>
    <t>Lucie Štědrá</t>
  </si>
  <si>
    <t xml:space="preserve">Součet </t>
  </si>
  <si>
    <t>Eva Farkašová</t>
  </si>
  <si>
    <t>Součet čísel větších než 4</t>
  </si>
  <si>
    <t>Květoslava Volgemutová</t>
  </si>
  <si>
    <t>Věra Kofroňová</t>
  </si>
  <si>
    <t>Marcela Holá</t>
  </si>
  <si>
    <t>Heide Nekovářová</t>
  </si>
  <si>
    <t>Strojírenská společnost</t>
  </si>
  <si>
    <t>CHERIS Trading</t>
  </si>
  <si>
    <t>Jana Ševčíková</t>
  </si>
  <si>
    <t>Jiří Szabó</t>
  </si>
  <si>
    <t>Ing. Libor Januška</t>
  </si>
  <si>
    <t>Milan Hostinský</t>
  </si>
  <si>
    <t>KOS Poděbrady</t>
  </si>
  <si>
    <t>Roman Kulda</t>
  </si>
  <si>
    <t>Tomáš Ondruška</t>
  </si>
  <si>
    <t>Stanislav Šnábl</t>
  </si>
  <si>
    <t>Michal Pilník</t>
  </si>
  <si>
    <t>Jan Jakouš</t>
  </si>
  <si>
    <t>Ladislav Moravec</t>
  </si>
  <si>
    <t>Karel Wszolek</t>
  </si>
  <si>
    <t>Petr Koža</t>
  </si>
  <si>
    <t>Jana Borůvková</t>
  </si>
  <si>
    <t>Eva Babincová</t>
  </si>
  <si>
    <t>POLAR EXPRES</t>
  </si>
  <si>
    <t>Engineering S. A. O. S.</t>
  </si>
  <si>
    <t>PSVT Pardubice</t>
  </si>
  <si>
    <t>Stanislav Trykar</t>
  </si>
  <si>
    <t>CARent Rent a Car</t>
  </si>
  <si>
    <t>PRIŠTINA, Praha</t>
  </si>
  <si>
    <t>Vladimír Hladil</t>
  </si>
  <si>
    <t>Bohumil Zahradník</t>
  </si>
  <si>
    <t>Jan Vrbický</t>
  </si>
  <si>
    <t>PSVT</t>
  </si>
  <si>
    <t>Patrik Jakšík</t>
  </si>
  <si>
    <t>Jidř.hr.spol.</t>
  </si>
  <si>
    <t>Václav Zdvořák</t>
  </si>
  <si>
    <t>Milan Štofko</t>
  </si>
  <si>
    <t>TENA TOURS</t>
  </si>
  <si>
    <t>ALESTA BUSINESS</t>
  </si>
  <si>
    <t>Eva Kozáková</t>
  </si>
  <si>
    <t>WASH CAT CZ s.r.o.</t>
  </si>
  <si>
    <t>S P E E, spol. s r.o.</t>
  </si>
  <si>
    <t>JOSK Tasov, s.r.o.</t>
  </si>
  <si>
    <t>AQAMAT</t>
  </si>
  <si>
    <t>Morava</t>
  </si>
  <si>
    <t>ESPEX</t>
  </si>
  <si>
    <t>Sadiki</t>
  </si>
  <si>
    <t>Star Trigon</t>
  </si>
  <si>
    <t>T-export a.s.</t>
  </si>
  <si>
    <t>Martin Marša</t>
  </si>
  <si>
    <t>Slovač</t>
  </si>
  <si>
    <t>SARP</t>
  </si>
  <si>
    <t>Aleš Heger</t>
  </si>
  <si>
    <t>F.U.D. Servis</t>
  </si>
  <si>
    <t>M&amp;Morava</t>
  </si>
  <si>
    <t>ASIA EUROPE</t>
  </si>
  <si>
    <t>SoKoS Kolín</t>
  </si>
  <si>
    <t>Arvin Praha</t>
  </si>
  <si>
    <t>DOMOV</t>
  </si>
  <si>
    <t>Pro DIS</t>
  </si>
  <si>
    <t>Karobau</t>
  </si>
  <si>
    <t>Miroslav Valčuha</t>
  </si>
  <si>
    <t>Roman Sitek</t>
  </si>
  <si>
    <t>Miroslav Kubáň</t>
  </si>
  <si>
    <t>ELEGA, a.s.- likvidace</t>
  </si>
  <si>
    <t>PANE – CZ likvidace</t>
  </si>
  <si>
    <t>KBH Electric</t>
  </si>
  <si>
    <t>SPED-TRANS</t>
  </si>
  <si>
    <t>TREX</t>
  </si>
  <si>
    <t>Monika Kantoříková</t>
  </si>
  <si>
    <t>Marta Ročková</t>
  </si>
  <si>
    <t>ICEC – HOLDING likvidace</t>
  </si>
  <si>
    <t>Zemědělská spol.</t>
  </si>
  <si>
    <t>Jiří Adam</t>
  </si>
  <si>
    <t>Petr Matouš</t>
  </si>
  <si>
    <t>5 H spol. s r.o.</t>
  </si>
  <si>
    <t>M-consulting group</t>
  </si>
  <si>
    <t>R plus R LINIE</t>
  </si>
  <si>
    <t>Milan Lazók, Cheb</t>
  </si>
  <si>
    <t>Ing. Arnošt Kvasnica</t>
  </si>
  <si>
    <t>Pekárna Delfín</t>
  </si>
  <si>
    <t>Lubomír Březina</t>
  </si>
  <si>
    <t>Josef Soukup</t>
  </si>
  <si>
    <t>Petr Kumbera</t>
  </si>
  <si>
    <t>Silka</t>
  </si>
  <si>
    <t>DOTEC ENERGO</t>
  </si>
  <si>
    <t>Zdeněk Kollert</t>
  </si>
  <si>
    <t>Josef Huska</t>
  </si>
  <si>
    <t>Jan Schierl</t>
  </si>
  <si>
    <t>Jiří Lamač</t>
  </si>
  <si>
    <t>Jindřich Řezáč</t>
  </si>
  <si>
    <t>Petr Maršálek</t>
  </si>
  <si>
    <t>FASHION STAR</t>
  </si>
  <si>
    <t>PEGGY</t>
  </si>
  <si>
    <t>Věra Borková</t>
  </si>
  <si>
    <t>Charlie Trade</t>
  </si>
  <si>
    <t>Petra Filipovičová</t>
  </si>
  <si>
    <t>František Hořejší</t>
  </si>
  <si>
    <t>SCAN-LAB</t>
  </si>
  <si>
    <t>Auto Moto Raptor</t>
  </si>
  <si>
    <t>Renáta Kemlerová</t>
  </si>
  <si>
    <t>Helena Kulichová</t>
  </si>
  <si>
    <t>Jana Nájemníková</t>
  </si>
  <si>
    <t>TDR com</t>
  </si>
  <si>
    <t>Jiří Kuneš</t>
  </si>
  <si>
    <t>JOVA</t>
  </si>
  <si>
    <t>AUTOMOTIV MOST</t>
  </si>
  <si>
    <t>GOLD GALLERY</t>
  </si>
  <si>
    <t>PARLEY, s.r.o.</t>
  </si>
  <si>
    <t>PROVI Consulting</t>
  </si>
  <si>
    <t>Denis Turek</t>
  </si>
  <si>
    <t>Ladislav Jirsa</t>
  </si>
  <si>
    <t>Martin Kupsa</t>
  </si>
  <si>
    <t>Antonín Kabát</t>
  </si>
  <si>
    <t>Zdeněk Horák</t>
  </si>
  <si>
    <t>Miroslav Blaho</t>
  </si>
  <si>
    <t>Ing. Jiří Javorník</t>
  </si>
  <si>
    <t>Hana Dezortová</t>
  </si>
  <si>
    <t>Zdeňka Oklešťková</t>
  </si>
  <si>
    <t>CATV holding</t>
  </si>
  <si>
    <t>Artcom spol. s r.o.</t>
  </si>
  <si>
    <t>Tůma, spol. s r.o.</t>
  </si>
  <si>
    <t>Ing. Karel Cimbura</t>
  </si>
  <si>
    <t>Jiří Výmola</t>
  </si>
  <si>
    <t>SCAN-LAB a.s.</t>
  </si>
  <si>
    <t>VAŠÍČEK TOUR v.o.s.</t>
  </si>
  <si>
    <t>BEOMS s.r.o.</t>
  </si>
  <si>
    <t>Karel Tomášek</t>
  </si>
  <si>
    <t>ADRA Karlovy Vary</t>
  </si>
  <si>
    <t>Štěpánka Válková</t>
  </si>
  <si>
    <t>FM STEKO</t>
  </si>
  <si>
    <t>Valašský pramen</t>
  </si>
  <si>
    <t>CORNIA</t>
  </si>
  <si>
    <t>Ž - TRANS</t>
  </si>
  <si>
    <t>N.P.I.</t>
  </si>
  <si>
    <t>KTPV</t>
  </si>
  <si>
    <t>Gabriela Seidlová</t>
  </si>
  <si>
    <t>Mgr. Petr Andrt</t>
  </si>
  <si>
    <t>Marianna Žáková</t>
  </si>
  <si>
    <t>JUDr. Eva Tučková</t>
  </si>
  <si>
    <t>Stanislav Mašát</t>
  </si>
  <si>
    <t>Luboš Netolický</t>
  </si>
  <si>
    <t>Ladislav Marek</t>
  </si>
  <si>
    <t>Radim Krátký</t>
  </si>
  <si>
    <t>Ing. Fr. Pražák</t>
  </si>
  <si>
    <t>Věra Tesaříková</t>
  </si>
  <si>
    <t>Alexandr Chaloupka</t>
  </si>
  <si>
    <t>Petr Svejkovský</t>
  </si>
  <si>
    <t>Alena Horová</t>
  </si>
  <si>
    <t>Jaroslava Šturmová</t>
  </si>
  <si>
    <t>Hana Kratochvílová</t>
  </si>
  <si>
    <t>Ing. Jana Klašková</t>
  </si>
  <si>
    <t>ORKA 3</t>
  </si>
  <si>
    <t>Lenka Výmolová</t>
  </si>
  <si>
    <t>1H PROJEKT Brno</t>
  </si>
  <si>
    <t>BEHA Přeštice</t>
  </si>
  <si>
    <t>ESPEX Brno</t>
  </si>
  <si>
    <t>Nový Domov</t>
  </si>
  <si>
    <t>Yin Yin</t>
  </si>
  <si>
    <t>CS.TOP TES</t>
  </si>
  <si>
    <t>CS. TOP TES</t>
  </si>
  <si>
    <t>Marie Jungrová</t>
  </si>
  <si>
    <t>Helena Koubíčková</t>
  </si>
  <si>
    <t>DUCATI PRAHA</t>
  </si>
  <si>
    <t>Taťána Horáčková</t>
  </si>
  <si>
    <t>Milan Ondrejkovič</t>
  </si>
  <si>
    <t>RaS Praha</t>
  </si>
  <si>
    <t>FOOD FACTORY</t>
  </si>
  <si>
    <t>Josef Ježek</t>
  </si>
  <si>
    <t>A.D.S. CZ Plus</t>
  </si>
  <si>
    <t>T-export</t>
  </si>
  <si>
    <t>SD Centrum</t>
  </si>
  <si>
    <t>HAKR B.B.</t>
  </si>
  <si>
    <t>Milena Vaníčková</t>
  </si>
  <si>
    <t>Jiřina Šafrová</t>
  </si>
  <si>
    <t>Ideal Consulting</t>
  </si>
  <si>
    <t>P.&amp; L.</t>
  </si>
  <si>
    <t>Karel Taube</t>
  </si>
  <si>
    <t>Blesk servis Brno</t>
  </si>
  <si>
    <t>VICTUM</t>
  </si>
  <si>
    <t>VICTUM Brno</t>
  </si>
  <si>
    <t>Blesk – servis Brno</t>
  </si>
  <si>
    <t>R a S Praha</t>
  </si>
  <si>
    <t>SUNFILM</t>
  </si>
  <si>
    <t>Ing. Aleš Čížek</t>
  </si>
  <si>
    <t>František Cícha</t>
  </si>
  <si>
    <t>Petr Kadlec</t>
  </si>
  <si>
    <t>Rudolf Zeisl</t>
  </si>
  <si>
    <t>Milan Večerka</t>
  </si>
  <si>
    <t>Marcela Čapčová</t>
  </si>
  <si>
    <t>Ing. Pšorn</t>
  </si>
  <si>
    <t>Michal Panuška</t>
  </si>
  <si>
    <t>Josef Čermák</t>
  </si>
  <si>
    <t>Miloslav Zobina</t>
  </si>
  <si>
    <t>Václav Poupa</t>
  </si>
  <si>
    <t>Eva Potůčková</t>
  </si>
  <si>
    <t>A.D.S.</t>
  </si>
  <si>
    <t>Playmat</t>
  </si>
  <si>
    <t>Intes-Invest</t>
  </si>
  <si>
    <t>Vladimír Važanský</t>
  </si>
  <si>
    <t>Městská tržnice</t>
  </si>
  <si>
    <t>Martin Hanuš</t>
  </si>
  <si>
    <t>ČKD Dukla</t>
  </si>
  <si>
    <t>Dřevo PE servis</t>
  </si>
  <si>
    <t>Vratislav Ondřáček</t>
  </si>
  <si>
    <t>ANTIKO</t>
  </si>
  <si>
    <t>STAVOZ</t>
  </si>
  <si>
    <t>KANTEX</t>
  </si>
  <si>
    <t>Tomáš Valta</t>
  </si>
  <si>
    <t>Petr Kešnar</t>
  </si>
  <si>
    <t>Helena Maryšková</t>
  </si>
  <si>
    <t>Kateřina Balážová</t>
  </si>
  <si>
    <t>Karolína Kilbergerová</t>
  </si>
  <si>
    <t>Miloslav Michálek</t>
  </si>
  <si>
    <t>Branžež CZ</t>
  </si>
  <si>
    <t>AQIMOS Group</t>
  </si>
  <si>
    <t>BOHEMIA STAR</t>
  </si>
  <si>
    <t>Jiří Zadrobílek</t>
  </si>
  <si>
    <t>DIJAN</t>
  </si>
  <si>
    <t>I.F.T. Computers</t>
  </si>
  <si>
    <t>Jiří Helis</t>
  </si>
  <si>
    <t>Milan Švenger</t>
  </si>
  <si>
    <t>BVT, s.r.o.</t>
  </si>
  <si>
    <t>František Pojsl</t>
  </si>
  <si>
    <t>Jana Ivánková</t>
  </si>
  <si>
    <t>Irena Noworytová</t>
  </si>
  <si>
    <t>Ilona Simeonová</t>
  </si>
  <si>
    <t>Iveta Bláhová</t>
  </si>
  <si>
    <t>AVIA - RUPE</t>
  </si>
  <si>
    <t>FV Logistic s.r.o.</t>
  </si>
  <si>
    <t>AUTO OLYMP</t>
  </si>
  <si>
    <t>IZOSY, v.o.s.</t>
  </si>
  <si>
    <t>Lanškrounský stav.pod.</t>
  </si>
  <si>
    <t>INTES-INVEST</t>
  </si>
  <si>
    <t>Jiří Škorpa</t>
  </si>
  <si>
    <t>Jiří Venhoda</t>
  </si>
  <si>
    <t>Martin Sechovec</t>
  </si>
  <si>
    <t>Jiří Kalousek</t>
  </si>
  <si>
    <t>Jiří Stárek</t>
  </si>
  <si>
    <t>Jiří Racek</t>
  </si>
  <si>
    <t>Miloslav Kolbek</t>
  </si>
  <si>
    <t>František Šíma</t>
  </si>
  <si>
    <t>Pavel Lapiš</t>
  </si>
  <si>
    <t>Radomír Doričák</t>
  </si>
  <si>
    <t>Autocentrum Morava</t>
  </si>
  <si>
    <t>Václav Michna</t>
  </si>
  <si>
    <t>Jiří Benda</t>
  </si>
  <si>
    <t>Jaromír Knechtl</t>
  </si>
  <si>
    <t>KAHO-SM Liberec</t>
  </si>
  <si>
    <t>NATALY-CAR</t>
  </si>
  <si>
    <t>Erika Čapková</t>
  </si>
  <si>
    <t>Radka Voříšková</t>
  </si>
  <si>
    <t>A.B.GROUP</t>
  </si>
  <si>
    <t>INLESCOLOR</t>
  </si>
  <si>
    <t>FORD TRANS</t>
  </si>
  <si>
    <t>TERES</t>
  </si>
  <si>
    <t>Jarmila Miklušáková</t>
  </si>
  <si>
    <t>Naděžda Mališová</t>
  </si>
  <si>
    <t>Martina Nykodýmová</t>
  </si>
  <si>
    <t>TRAXELL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</si>
</sst>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&quot;krát&quot;"/>
  </numFmts>
  <fonts count="15">
    <font>
      <sz val="11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4"/>
      <name val="Arial CE"/>
      <charset val="238"/>
    </font>
    <font>
      <sz val="11"/>
      <name val="Arial CE"/>
      <charset val="238"/>
    </font>
    <font>
      <sz val="11"/>
      <color theme="1"/>
      <name val="Liberation Sans"/>
      <charset val="238"/>
    </font>
    <font>
      <sz val="11"/>
      <color rgb="FFFF0000"/>
      <name val="Calibri"/>
      <family val="2"/>
      <charset val="238"/>
      <scheme val="minor"/>
    </font>
    <font>
      <b/>
      <sz val="9"/>
      <color indexed="81"/>
      <name val="Tahoma"/>
      <family val="2"/>
      <charset val="238"/>
    </font>
    <font>
      <sz val="14"/>
      <color rgb="FF0070C0"/>
      <name val="Arial CE"/>
      <charset val="238"/>
    </font>
    <font>
      <sz val="14"/>
      <color rgb="FF0070C0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rgb="FF0070C0"/>
      <name val="Arial"/>
      <family val="2"/>
      <charset val="238"/>
    </font>
    <font>
      <b/>
      <sz val="10"/>
      <name val="Arial CE"/>
      <family val="2"/>
      <charset val="238"/>
    </font>
    <font>
      <sz val="11"/>
      <color rgb="FF00B0F0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4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/>
    </xf>
    <xf numFmtId="0" fontId="5" fillId="0" borderId="0" xfId="0" applyFont="1"/>
    <xf numFmtId="0" fontId="0" fillId="0" borderId="1" xfId="0" applyBorder="1"/>
    <xf numFmtId="0" fontId="7" fillId="0" borderId="1" xfId="0" applyFont="1" applyBorder="1"/>
    <xf numFmtId="0" fontId="0" fillId="2" borderId="3" xfId="0" applyFill="1" applyBorder="1"/>
    <xf numFmtId="0" fontId="0" fillId="2" borderId="4" xfId="0" applyFill="1" applyBorder="1"/>
    <xf numFmtId="0" fontId="3" fillId="2" borderId="4" xfId="0" applyFont="1" applyFill="1" applyBorder="1"/>
    <xf numFmtId="0" fontId="9" fillId="0" borderId="0" xfId="0" applyFont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0" fillId="0" borderId="0" xfId="0" applyFont="1"/>
    <xf numFmtId="0" fontId="0" fillId="3" borderId="1" xfId="0" applyFill="1" applyBorder="1"/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12" fillId="0" borderId="0" xfId="2" applyFont="1"/>
    <xf numFmtId="0" fontId="4" fillId="6" borderId="1" xfId="0" applyFont="1" applyFill="1" applyBorder="1" applyAlignment="1">
      <alignment horizontal="center"/>
    </xf>
    <xf numFmtId="0" fontId="7" fillId="0" borderId="7" xfId="0" applyFont="1" applyBorder="1"/>
    <xf numFmtId="0" fontId="0" fillId="0" borderId="7" xfId="0" applyBorder="1"/>
    <xf numFmtId="0" fontId="0" fillId="2" borderId="8" xfId="0" applyFill="1" applyBorder="1"/>
    <xf numFmtId="0" fontId="0" fillId="0" borderId="6" xfId="0" applyBorder="1"/>
    <xf numFmtId="0" fontId="0" fillId="0" borderId="9" xfId="0" applyBorder="1"/>
    <xf numFmtId="0" fontId="3" fillId="2" borderId="3" xfId="0" applyFont="1" applyFill="1" applyBorder="1"/>
    <xf numFmtId="0" fontId="1" fillId="4" borderId="1" xfId="0" applyFont="1" applyFill="1" applyBorder="1"/>
    <xf numFmtId="0" fontId="13" fillId="7" borderId="1" xfId="0" applyFont="1" applyFill="1" applyBorder="1" applyAlignment="1" applyProtection="1">
      <alignment horizontal="center" vertical="center"/>
      <protection locked="0"/>
    </xf>
    <xf numFmtId="0" fontId="13" fillId="7" borderId="1" xfId="0" applyFont="1" applyFill="1" applyBorder="1" applyAlignment="1" applyProtection="1">
      <alignment horizontal="center" vertical="center" wrapText="1"/>
      <protection locked="0"/>
    </xf>
    <xf numFmtId="0" fontId="14" fillId="0" borderId="0" xfId="0" applyFont="1"/>
    <xf numFmtId="0" fontId="13" fillId="0" borderId="1" xfId="0" applyFont="1" applyBorder="1" applyProtection="1">
      <protection locked="0"/>
    </xf>
    <xf numFmtId="0" fontId="0" fillId="8" borderId="1" xfId="0" applyFill="1" applyBorder="1" applyAlignment="1">
      <alignment horizontal="center" vertical="center"/>
    </xf>
    <xf numFmtId="0" fontId="13" fillId="7" borderId="2" xfId="0" applyFont="1" applyFill="1" applyBorder="1" applyAlignment="1" applyProtection="1">
      <alignment horizontal="center" vertical="center"/>
      <protection locked="0"/>
    </xf>
    <xf numFmtId="0" fontId="13" fillId="7" borderId="7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left" wrapText="1"/>
    </xf>
    <xf numFmtId="0" fontId="0" fillId="8" borderId="5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0" borderId="5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8" borderId="5" xfId="0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/>
    </xf>
    <xf numFmtId="165" fontId="1" fillId="4" borderId="1" xfId="0" applyNumberFormat="1" applyFont="1" applyFill="1" applyBorder="1"/>
  </cellXfs>
  <cellStyles count="3">
    <cellStyle name="Normální" xfId="0" builtinId="0"/>
    <cellStyle name="Normální 2" xfId="2" xr:uid="{00000000-0005-0000-0000-000001000000}"/>
    <cellStyle name="Normální 5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polecne\materi&#225;ly\Standardn&#237;\Excel\04%20pro%20pokro&#269;il&#233;%20-%20roz&#353;&#237;&#345;en&#253;%20kurz\2010\&#353;kolen&#237;\V&#253;klad%20-%20pro%20pokro&#269;il&#233;%20roz&#353;&#237;&#345;en&#253;_20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lastní formáty čísel"/>
      <sheetName val="Leden"/>
      <sheetName val="Únor"/>
      <sheetName val="Březen"/>
      <sheetName val="Adresace"/>
      <sheetName val="Absolutní adresace"/>
      <sheetName val="Složené výpočty"/>
      <sheetName val="3D adresace"/>
      <sheetName val="Funkce"/>
      <sheetName val="závislost vzorců, pojm. oblasti"/>
      <sheetName val="Podmíněné formátování"/>
      <sheetName val="Data pro KT"/>
      <sheetName val="Ověření"/>
      <sheetName val="Zabezpečení"/>
      <sheetName val="Rozšířený filtr, databázové fce"/>
      <sheetName val="Sourhny"/>
      <sheetName val="Automatický přehled"/>
      <sheetName val="Grafy"/>
      <sheetName val="Komentář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G2">
            <v>0.2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zoomScaleNormal="100" workbookViewId="0">
      <selection activeCell="E20" sqref="E20"/>
    </sheetView>
  </sheetViews>
  <sheetFormatPr defaultRowHeight="15"/>
  <cols>
    <col min="1" max="1" width="26.7109375" bestFit="1" customWidth="1"/>
    <col min="2" max="2" width="19.28515625" bestFit="1" customWidth="1"/>
    <col min="3" max="3" width="23.28515625" bestFit="1" customWidth="1"/>
    <col min="4" max="4" width="40.42578125" customWidth="1"/>
    <col min="5" max="5" width="26.5703125" customWidth="1"/>
  </cols>
  <sheetData>
    <row r="1" spans="1:4">
      <c r="A1" s="21" t="s">
        <v>41</v>
      </c>
    </row>
    <row r="2" spans="1:4" ht="15.75" thickBot="1">
      <c r="A2" s="21"/>
    </row>
    <row r="3" spans="1:4" ht="24" thickBot="1">
      <c r="A3" s="11" t="s">
        <v>1</v>
      </c>
      <c r="B3" s="9" t="s">
        <v>36</v>
      </c>
      <c r="C3" s="10" t="s">
        <v>35</v>
      </c>
      <c r="D3" s="9" t="s">
        <v>34</v>
      </c>
    </row>
    <row r="4" spans="1:4">
      <c r="A4" s="7" t="s">
        <v>29</v>
      </c>
      <c r="B4" s="8" t="s">
        <v>23</v>
      </c>
      <c r="C4" s="8" t="s">
        <v>23</v>
      </c>
      <c r="D4" s="18" t="b">
        <f>AND(B4 = "ano",C4 = "ano")</f>
        <v>1</v>
      </c>
    </row>
    <row r="5" spans="1:4">
      <c r="A5" s="26" t="s">
        <v>28</v>
      </c>
      <c r="B5" s="23" t="s">
        <v>23</v>
      </c>
      <c r="C5" s="8" t="s">
        <v>23</v>
      </c>
      <c r="D5" s="18" t="b">
        <f t="shared" ref="D5:D8" si="0">AND(B5 = "ano",C5 = "ano")</f>
        <v>1</v>
      </c>
    </row>
    <row r="6" spans="1:4">
      <c r="A6" s="26" t="s">
        <v>27</v>
      </c>
      <c r="B6" s="24" t="s">
        <v>25</v>
      </c>
      <c r="C6" s="7" t="s">
        <v>25</v>
      </c>
      <c r="D6" s="18" t="b">
        <f t="shared" si="0"/>
        <v>0</v>
      </c>
    </row>
    <row r="7" spans="1:4">
      <c r="A7" s="26" t="s">
        <v>26</v>
      </c>
      <c r="B7" s="24" t="s">
        <v>25</v>
      </c>
      <c r="C7" s="7" t="s">
        <v>25</v>
      </c>
      <c r="D7" s="18" t="b">
        <f t="shared" si="0"/>
        <v>0</v>
      </c>
    </row>
    <row r="8" spans="1:4">
      <c r="A8" s="26" t="s">
        <v>24</v>
      </c>
      <c r="B8" s="23" t="s">
        <v>23</v>
      </c>
      <c r="C8" s="7" t="s">
        <v>25</v>
      </c>
      <c r="D8" s="18" t="b">
        <f t="shared" si="0"/>
        <v>0</v>
      </c>
    </row>
    <row r="9" spans="1:4">
      <c r="A9" s="27"/>
    </row>
    <row r="10" spans="1:4">
      <c r="A10" s="27"/>
    </row>
    <row r="11" spans="1:4" ht="15.75" thickBot="1">
      <c r="A11" s="27"/>
    </row>
    <row r="12" spans="1:4" ht="24" thickBot="1">
      <c r="A12" s="28" t="s">
        <v>33</v>
      </c>
      <c r="B12" s="25" t="s">
        <v>32</v>
      </c>
      <c r="C12" s="10" t="s">
        <v>31</v>
      </c>
      <c r="D12" s="9" t="s">
        <v>30</v>
      </c>
    </row>
    <row r="13" spans="1:4">
      <c r="A13" s="26" t="s">
        <v>29</v>
      </c>
      <c r="B13" s="23" t="s">
        <v>23</v>
      </c>
      <c r="C13" s="7" t="s">
        <v>22</v>
      </c>
      <c r="D13" s="18" t="b">
        <f>OR(B13="ano",C13="ano")</f>
        <v>1</v>
      </c>
    </row>
    <row r="14" spans="1:4">
      <c r="A14" s="7" t="s">
        <v>28</v>
      </c>
      <c r="B14" s="8" t="s">
        <v>23</v>
      </c>
      <c r="C14" s="7" t="s">
        <v>22</v>
      </c>
      <c r="D14" s="18" t="b">
        <f t="shared" ref="D14:D17" si="1">OR(B14="ano",C14="ano")</f>
        <v>1</v>
      </c>
    </row>
    <row r="15" spans="1:4">
      <c r="A15" s="7" t="s">
        <v>27</v>
      </c>
      <c r="B15" s="7" t="s">
        <v>25</v>
      </c>
      <c r="C15" s="8" t="s">
        <v>23</v>
      </c>
      <c r="D15" s="18" t="b">
        <f t="shared" si="1"/>
        <v>1</v>
      </c>
    </row>
    <row r="16" spans="1:4">
      <c r="A16" s="7" t="s">
        <v>26</v>
      </c>
      <c r="B16" s="7" t="s">
        <v>25</v>
      </c>
      <c r="C16" s="7" t="s">
        <v>25</v>
      </c>
      <c r="D16" s="18" t="b">
        <f t="shared" si="1"/>
        <v>0</v>
      </c>
    </row>
    <row r="17" spans="1:4">
      <c r="A17" s="7" t="s">
        <v>24</v>
      </c>
      <c r="B17" s="8" t="s">
        <v>23</v>
      </c>
      <c r="C17" s="7" t="s">
        <v>22</v>
      </c>
      <c r="D17" s="18" t="b">
        <f t="shared" si="1"/>
        <v>1</v>
      </c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12"/>
  <sheetViews>
    <sheetView workbookViewId="0">
      <selection activeCell="G16" sqref="G16"/>
    </sheetView>
  </sheetViews>
  <sheetFormatPr defaultColWidth="9.28515625" defaultRowHeight="18"/>
  <cols>
    <col min="1" max="5" width="9.28515625" style="4"/>
    <col min="6" max="6" width="21.42578125" style="4" customWidth="1"/>
    <col min="7" max="7" width="28.5703125" style="4" customWidth="1"/>
    <col min="8" max="16384" width="9.28515625" style="4"/>
  </cols>
  <sheetData>
    <row r="2" spans="1:7">
      <c r="A2" s="12" t="s">
        <v>39</v>
      </c>
    </row>
    <row r="5" spans="1:7">
      <c r="A5" s="19"/>
      <c r="B5" s="19" t="s">
        <v>12</v>
      </c>
      <c r="C5" s="19" t="s">
        <v>13</v>
      </c>
      <c r="D5" s="19" t="s">
        <v>14</v>
      </c>
      <c r="E5" s="19" t="s">
        <v>15</v>
      </c>
      <c r="F5" s="19" t="s">
        <v>16</v>
      </c>
      <c r="G5" s="19" t="s">
        <v>17</v>
      </c>
    </row>
    <row r="6" spans="1:7">
      <c r="A6" s="20" t="s">
        <v>18</v>
      </c>
      <c r="B6" s="5">
        <v>1</v>
      </c>
      <c r="C6" s="5">
        <v>1</v>
      </c>
      <c r="D6" s="5">
        <v>1</v>
      </c>
      <c r="E6" s="5">
        <v>1</v>
      </c>
      <c r="F6" s="22" t="b" cm="1">
        <f t="array" ref="F6">AND(B6:E6=1)</f>
        <v>1</v>
      </c>
      <c r="G6" s="22" t="b" cm="1">
        <f t="array" ref="G6">OR(B6:E6=4)</f>
        <v>0</v>
      </c>
    </row>
    <row r="7" spans="1:7">
      <c r="A7" s="20" t="s">
        <v>19</v>
      </c>
      <c r="B7" s="5">
        <v>1</v>
      </c>
      <c r="C7" s="5">
        <v>4</v>
      </c>
      <c r="D7" s="5">
        <v>3</v>
      </c>
      <c r="E7" s="5">
        <v>2</v>
      </c>
      <c r="F7" s="22" t="b" cm="1">
        <f t="array" ref="F7">AND(B7:E7=1)</f>
        <v>0</v>
      </c>
      <c r="G7" s="22" t="b" cm="1">
        <f t="array" ref="G7">OR(B7:E7=4)</f>
        <v>1</v>
      </c>
    </row>
    <row r="8" spans="1:7">
      <c r="A8" s="20" t="s">
        <v>20</v>
      </c>
      <c r="B8" s="5">
        <v>2</v>
      </c>
      <c r="C8" s="5">
        <v>3</v>
      </c>
      <c r="D8" s="5">
        <v>3</v>
      </c>
      <c r="E8" s="5">
        <v>2</v>
      </c>
      <c r="F8" s="22" t="b" cm="1">
        <f t="array" ref="F8">AND(B8:E8=1)</f>
        <v>0</v>
      </c>
      <c r="G8" s="22" t="b" cm="1">
        <f t="array" ref="G8">OR(B8:E8=4)</f>
        <v>0</v>
      </c>
    </row>
    <row r="9" spans="1:7">
      <c r="A9" s="20" t="s">
        <v>0</v>
      </c>
      <c r="B9" s="5">
        <v>1</v>
      </c>
      <c r="C9" s="5">
        <v>1</v>
      </c>
      <c r="D9" s="5">
        <v>1</v>
      </c>
      <c r="E9" s="5">
        <v>1</v>
      </c>
      <c r="F9" s="22" t="b" cm="1">
        <f t="array" ref="F9">AND(B9:E9=1)</f>
        <v>1</v>
      </c>
      <c r="G9" s="22" t="b" cm="1">
        <f t="array" ref="G9">OR(B9:E9=4)</f>
        <v>0</v>
      </c>
    </row>
    <row r="10" spans="1:7">
      <c r="A10" s="20" t="s">
        <v>21</v>
      </c>
      <c r="B10" s="5">
        <v>2</v>
      </c>
      <c r="C10" s="5">
        <v>5</v>
      </c>
      <c r="D10" s="5">
        <v>4</v>
      </c>
      <c r="E10" s="5">
        <v>1</v>
      </c>
      <c r="F10" s="22" t="b" cm="1">
        <f t="array" ref="F10">AND(B10:E10=1)</f>
        <v>0</v>
      </c>
      <c r="G10" s="22" t="b" cm="1">
        <f t="array" ref="G10">OR(B10:E10=4)</f>
        <v>1</v>
      </c>
    </row>
    <row r="11" spans="1:7" s="6" customFormat="1" ht="14.25"/>
    <row r="12" spans="1:7">
      <c r="A12" s="6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1"/>
  <sheetViews>
    <sheetView workbookViewId="0">
      <selection activeCell="F19" sqref="F19"/>
    </sheetView>
  </sheetViews>
  <sheetFormatPr defaultRowHeight="15"/>
  <cols>
    <col min="1" max="1" width="31.5703125" customWidth="1"/>
    <col min="2" max="2" width="10.5703125" customWidth="1"/>
    <col min="7" max="8" width="14.7109375" customWidth="1"/>
  </cols>
  <sheetData>
    <row r="1" spans="1:8">
      <c r="A1" s="30" t="s">
        <v>43</v>
      </c>
      <c r="B1" s="31" t="s">
        <v>44</v>
      </c>
      <c r="G1" s="32" t="s">
        <v>45</v>
      </c>
    </row>
    <row r="2" spans="1:8">
      <c r="A2" s="33" t="s">
        <v>46</v>
      </c>
      <c r="B2" s="33">
        <v>10</v>
      </c>
      <c r="G2" s="32" t="s">
        <v>47</v>
      </c>
    </row>
    <row r="3" spans="1:8">
      <c r="A3" s="33" t="s">
        <v>48</v>
      </c>
      <c r="B3" s="33">
        <v>1</v>
      </c>
    </row>
    <row r="4" spans="1:8">
      <c r="A4" s="33" t="s">
        <v>49</v>
      </c>
      <c r="B4" s="33">
        <v>8</v>
      </c>
      <c r="G4" s="35" t="s">
        <v>50</v>
      </c>
      <c r="H4" s="36"/>
    </row>
    <row r="5" spans="1:8">
      <c r="A5" s="33" t="s">
        <v>49</v>
      </c>
      <c r="B5" s="33">
        <v>9</v>
      </c>
      <c r="G5" s="7" t="s">
        <v>51</v>
      </c>
      <c r="H5" s="34">
        <f>MAX(B2:B291)</f>
        <v>10</v>
      </c>
    </row>
    <row r="6" spans="1:8">
      <c r="A6" s="33" t="s">
        <v>52</v>
      </c>
      <c r="B6" s="33">
        <v>4</v>
      </c>
      <c r="G6" s="7" t="s">
        <v>53</v>
      </c>
      <c r="H6" s="34">
        <f>MIN(B2:B291)</f>
        <v>1</v>
      </c>
    </row>
    <row r="7" spans="1:8">
      <c r="A7" s="33" t="s">
        <v>54</v>
      </c>
      <c r="B7" s="33">
        <v>6</v>
      </c>
      <c r="G7" s="7" t="s">
        <v>55</v>
      </c>
      <c r="H7" s="34">
        <f>COUNT(B2:B291)</f>
        <v>290</v>
      </c>
    </row>
    <row r="8" spans="1:8">
      <c r="A8" s="33" t="s">
        <v>56</v>
      </c>
      <c r="B8" s="33">
        <v>1</v>
      </c>
      <c r="G8" s="37" t="s">
        <v>57</v>
      </c>
      <c r="H8" s="38">
        <f>COUNTA(A2:B291)</f>
        <v>580</v>
      </c>
    </row>
    <row r="9" spans="1:8">
      <c r="A9" s="33" t="s">
        <v>58</v>
      </c>
      <c r="B9" s="33">
        <v>3</v>
      </c>
      <c r="G9" s="37"/>
      <c r="H9" s="39"/>
    </row>
    <row r="10" spans="1:8">
      <c r="A10" s="33" t="s">
        <v>59</v>
      </c>
      <c r="B10" s="33">
        <v>5</v>
      </c>
      <c r="G10" s="7" t="s">
        <v>60</v>
      </c>
      <c r="H10" s="34">
        <f>COUNTIF(A2:B291,"=1")</f>
        <v>59</v>
      </c>
    </row>
    <row r="11" spans="1:8">
      <c r="A11" s="33" t="s">
        <v>61</v>
      </c>
      <c r="B11" s="33">
        <v>2</v>
      </c>
      <c r="G11" s="7" t="s">
        <v>62</v>
      </c>
      <c r="H11" s="34">
        <f>COUNTIF(A2:B291,"=7")</f>
        <v>17</v>
      </c>
    </row>
    <row r="12" spans="1:8">
      <c r="A12" s="33" t="s">
        <v>63</v>
      </c>
      <c r="B12" s="33">
        <v>2</v>
      </c>
      <c r="G12" s="7" t="s">
        <v>64</v>
      </c>
      <c r="H12" s="34">
        <f>AVERAGE(A2:B291)</f>
        <v>4.6551724137931032</v>
      </c>
    </row>
    <row r="13" spans="1:8">
      <c r="A13" s="33" t="s">
        <v>65</v>
      </c>
      <c r="B13" s="33">
        <v>1</v>
      </c>
      <c r="G13" s="7" t="s">
        <v>66</v>
      </c>
      <c r="H13" s="34">
        <f>SUM(B2:B291)</f>
        <v>1350</v>
      </c>
    </row>
    <row r="14" spans="1:8">
      <c r="A14" s="33" t="s">
        <v>67</v>
      </c>
      <c r="B14" s="33">
        <v>7</v>
      </c>
      <c r="G14" s="40" t="s">
        <v>68</v>
      </c>
      <c r="H14" s="42">
        <f>SUMIF(A2:B291,"&gt;4")</f>
        <v>1045</v>
      </c>
    </row>
    <row r="15" spans="1:8">
      <c r="A15" s="33" t="s">
        <v>69</v>
      </c>
      <c r="B15" s="33">
        <v>5</v>
      </c>
      <c r="G15" s="41"/>
      <c r="H15" s="43"/>
    </row>
    <row r="16" spans="1:8">
      <c r="A16" s="33" t="s">
        <v>70</v>
      </c>
      <c r="B16" s="33">
        <v>10</v>
      </c>
    </row>
    <row r="17" spans="1:2">
      <c r="A17" s="33" t="s">
        <v>71</v>
      </c>
      <c r="B17" s="33">
        <v>1</v>
      </c>
    </row>
    <row r="18" spans="1:2">
      <c r="A18" s="33" t="s">
        <v>72</v>
      </c>
      <c r="B18" s="33">
        <v>8</v>
      </c>
    </row>
    <row r="19" spans="1:2">
      <c r="A19" s="33" t="s">
        <v>73</v>
      </c>
      <c r="B19" s="33">
        <v>9</v>
      </c>
    </row>
    <row r="20" spans="1:2">
      <c r="A20" s="33" t="s">
        <v>74</v>
      </c>
      <c r="B20" s="33">
        <v>2</v>
      </c>
    </row>
    <row r="21" spans="1:2">
      <c r="A21" s="33" t="s">
        <v>75</v>
      </c>
      <c r="B21" s="33">
        <v>2</v>
      </c>
    </row>
    <row r="22" spans="1:2">
      <c r="A22" s="33" t="s">
        <v>76</v>
      </c>
      <c r="B22" s="33">
        <v>4</v>
      </c>
    </row>
    <row r="23" spans="1:2">
      <c r="A23" s="33" t="s">
        <v>77</v>
      </c>
      <c r="B23" s="33">
        <v>10</v>
      </c>
    </row>
    <row r="24" spans="1:2">
      <c r="A24" s="33" t="s">
        <v>78</v>
      </c>
      <c r="B24" s="33">
        <v>1</v>
      </c>
    </row>
    <row r="25" spans="1:2">
      <c r="A25" s="33" t="s">
        <v>79</v>
      </c>
      <c r="B25" s="33">
        <v>8</v>
      </c>
    </row>
    <row r="26" spans="1:2">
      <c r="A26" s="33" t="s">
        <v>80</v>
      </c>
      <c r="B26" s="33">
        <v>4</v>
      </c>
    </row>
    <row r="27" spans="1:2">
      <c r="A27" s="33" t="s">
        <v>81</v>
      </c>
      <c r="B27" s="33">
        <v>6</v>
      </c>
    </row>
    <row r="28" spans="1:2">
      <c r="A28" s="33" t="s">
        <v>82</v>
      </c>
      <c r="B28" s="33">
        <v>2</v>
      </c>
    </row>
    <row r="29" spans="1:2">
      <c r="A29" s="33" t="s">
        <v>83</v>
      </c>
      <c r="B29" s="33">
        <v>2</v>
      </c>
    </row>
    <row r="30" spans="1:2">
      <c r="A30" s="33" t="s">
        <v>79</v>
      </c>
      <c r="B30" s="33">
        <v>9</v>
      </c>
    </row>
    <row r="31" spans="1:2">
      <c r="A31" s="33" t="s">
        <v>84</v>
      </c>
      <c r="B31" s="33">
        <v>2</v>
      </c>
    </row>
    <row r="32" spans="1:2">
      <c r="A32" s="33" t="s">
        <v>85</v>
      </c>
      <c r="B32" s="33">
        <v>2</v>
      </c>
    </row>
    <row r="33" spans="1:2">
      <c r="A33" s="33" t="s">
        <v>86</v>
      </c>
      <c r="B33" s="33">
        <v>1</v>
      </c>
    </row>
    <row r="34" spans="1:2">
      <c r="A34" s="33" t="s">
        <v>87</v>
      </c>
      <c r="B34" s="33">
        <v>3</v>
      </c>
    </row>
    <row r="35" spans="1:2">
      <c r="A35" s="33" t="s">
        <v>88</v>
      </c>
      <c r="B35" s="33">
        <v>5</v>
      </c>
    </row>
    <row r="36" spans="1:2">
      <c r="A36" s="33" t="s">
        <v>89</v>
      </c>
      <c r="B36" s="33">
        <v>1</v>
      </c>
    </row>
    <row r="37" spans="1:2">
      <c r="A37" s="33" t="s">
        <v>90</v>
      </c>
      <c r="B37" s="33">
        <v>7</v>
      </c>
    </row>
    <row r="38" spans="1:2">
      <c r="A38" s="33" t="s">
        <v>91</v>
      </c>
      <c r="B38" s="33">
        <v>5</v>
      </c>
    </row>
    <row r="39" spans="1:2">
      <c r="A39" s="33" t="s">
        <v>92</v>
      </c>
      <c r="B39" s="33">
        <v>4</v>
      </c>
    </row>
    <row r="40" spans="1:2">
      <c r="A40" s="33" t="s">
        <v>93</v>
      </c>
      <c r="B40" s="33">
        <v>10</v>
      </c>
    </row>
    <row r="41" spans="1:2">
      <c r="A41" s="33" t="s">
        <v>94</v>
      </c>
      <c r="B41" s="33">
        <v>1</v>
      </c>
    </row>
    <row r="42" spans="1:2">
      <c r="A42" s="33" t="s">
        <v>95</v>
      </c>
      <c r="B42" s="33">
        <v>8</v>
      </c>
    </row>
    <row r="43" spans="1:2">
      <c r="A43" s="33" t="s">
        <v>96</v>
      </c>
      <c r="B43" s="33">
        <v>9</v>
      </c>
    </row>
    <row r="44" spans="1:2">
      <c r="A44" s="33" t="s">
        <v>97</v>
      </c>
      <c r="B44" s="33">
        <v>2</v>
      </c>
    </row>
    <row r="45" spans="1:2">
      <c r="A45" s="33" t="s">
        <v>98</v>
      </c>
      <c r="B45" s="33">
        <v>2</v>
      </c>
    </row>
    <row r="46" spans="1:2">
      <c r="A46" s="33" t="s">
        <v>99</v>
      </c>
      <c r="B46" s="33">
        <v>10</v>
      </c>
    </row>
    <row r="47" spans="1:2">
      <c r="A47" s="33" t="s">
        <v>100</v>
      </c>
      <c r="B47" s="33">
        <v>1</v>
      </c>
    </row>
    <row r="48" spans="1:2">
      <c r="A48" s="33" t="s">
        <v>101</v>
      </c>
      <c r="B48" s="33">
        <v>4</v>
      </c>
    </row>
    <row r="49" spans="1:2">
      <c r="A49" s="33" t="s">
        <v>102</v>
      </c>
      <c r="B49" s="33">
        <v>8</v>
      </c>
    </row>
    <row r="50" spans="1:2">
      <c r="A50" s="33" t="s">
        <v>103</v>
      </c>
      <c r="B50" s="33">
        <v>9</v>
      </c>
    </row>
    <row r="51" spans="1:2">
      <c r="A51" s="33" t="s">
        <v>104</v>
      </c>
      <c r="B51" s="33">
        <v>2</v>
      </c>
    </row>
    <row r="52" spans="1:2">
      <c r="A52" s="33" t="s">
        <v>105</v>
      </c>
      <c r="B52" s="33">
        <v>2</v>
      </c>
    </row>
    <row r="53" spans="1:2">
      <c r="A53" s="33" t="s">
        <v>106</v>
      </c>
      <c r="B53" s="33">
        <v>6</v>
      </c>
    </row>
    <row r="54" spans="1:2">
      <c r="A54" s="33" t="s">
        <v>107</v>
      </c>
      <c r="B54" s="33">
        <v>5</v>
      </c>
    </row>
    <row r="55" spans="1:2">
      <c r="A55" s="33" t="s">
        <v>108</v>
      </c>
      <c r="B55" s="33">
        <v>1</v>
      </c>
    </row>
    <row r="56" spans="1:2">
      <c r="A56" s="33" t="s">
        <v>109</v>
      </c>
      <c r="B56" s="33">
        <v>3</v>
      </c>
    </row>
    <row r="57" spans="1:2">
      <c r="A57" s="33" t="s">
        <v>110</v>
      </c>
      <c r="B57" s="33">
        <v>4</v>
      </c>
    </row>
    <row r="58" spans="1:2">
      <c r="A58" s="33" t="s">
        <v>111</v>
      </c>
      <c r="B58" s="33">
        <v>10</v>
      </c>
    </row>
    <row r="59" spans="1:2">
      <c r="A59" s="33" t="s">
        <v>112</v>
      </c>
      <c r="B59" s="33">
        <v>1</v>
      </c>
    </row>
    <row r="60" spans="1:2">
      <c r="A60" s="33" t="s">
        <v>113</v>
      </c>
      <c r="B60" s="33">
        <v>8</v>
      </c>
    </row>
    <row r="61" spans="1:2">
      <c r="A61" s="33" t="s">
        <v>114</v>
      </c>
      <c r="B61" s="33">
        <v>1</v>
      </c>
    </row>
    <row r="62" spans="1:2">
      <c r="A62" s="33" t="s">
        <v>115</v>
      </c>
      <c r="B62" s="33">
        <v>7</v>
      </c>
    </row>
    <row r="63" spans="1:2">
      <c r="A63" s="33" t="s">
        <v>116</v>
      </c>
      <c r="B63" s="33">
        <v>5</v>
      </c>
    </row>
    <row r="64" spans="1:2">
      <c r="A64" s="33" t="s">
        <v>116</v>
      </c>
      <c r="B64" s="33">
        <v>10</v>
      </c>
    </row>
    <row r="65" spans="1:2">
      <c r="A65" s="33" t="s">
        <v>113</v>
      </c>
      <c r="B65" s="33">
        <v>9</v>
      </c>
    </row>
    <row r="66" spans="1:2">
      <c r="A66" s="33" t="s">
        <v>117</v>
      </c>
      <c r="B66" s="33">
        <v>2</v>
      </c>
    </row>
    <row r="67" spans="1:2">
      <c r="A67" s="33" t="s">
        <v>118</v>
      </c>
      <c r="B67" s="33">
        <v>2</v>
      </c>
    </row>
    <row r="68" spans="1:2">
      <c r="A68" s="33" t="s">
        <v>119</v>
      </c>
      <c r="B68" s="33">
        <v>6</v>
      </c>
    </row>
    <row r="69" spans="1:2">
      <c r="A69" s="33" t="s">
        <v>120</v>
      </c>
      <c r="B69" s="33">
        <v>1</v>
      </c>
    </row>
    <row r="70" spans="1:2">
      <c r="A70" s="33" t="s">
        <v>121</v>
      </c>
      <c r="B70" s="33">
        <v>3</v>
      </c>
    </row>
    <row r="71" spans="1:2">
      <c r="A71" s="33" t="s">
        <v>122</v>
      </c>
      <c r="B71" s="33">
        <v>1</v>
      </c>
    </row>
    <row r="72" spans="1:2">
      <c r="A72" s="33" t="s">
        <v>123</v>
      </c>
      <c r="B72" s="33">
        <v>8</v>
      </c>
    </row>
    <row r="73" spans="1:2">
      <c r="A73" s="33" t="s">
        <v>123</v>
      </c>
      <c r="B73" s="33">
        <v>9</v>
      </c>
    </row>
    <row r="74" spans="1:2">
      <c r="A74" s="33" t="s">
        <v>124</v>
      </c>
      <c r="B74" s="33">
        <v>2</v>
      </c>
    </row>
    <row r="75" spans="1:2">
      <c r="A75" s="33" t="s">
        <v>125</v>
      </c>
      <c r="B75" s="33">
        <v>2</v>
      </c>
    </row>
    <row r="76" spans="1:2">
      <c r="A76" s="33" t="s">
        <v>92</v>
      </c>
      <c r="B76" s="33">
        <v>4</v>
      </c>
    </row>
    <row r="77" spans="1:2">
      <c r="A77" s="33" t="s">
        <v>126</v>
      </c>
      <c r="B77" s="33">
        <v>6</v>
      </c>
    </row>
    <row r="78" spans="1:2">
      <c r="A78" s="33" t="s">
        <v>127</v>
      </c>
      <c r="B78" s="33">
        <v>4</v>
      </c>
    </row>
    <row r="79" spans="1:2">
      <c r="A79" s="33" t="s">
        <v>128</v>
      </c>
      <c r="B79" s="33">
        <v>5</v>
      </c>
    </row>
    <row r="80" spans="1:2">
      <c r="A80" s="33" t="s">
        <v>129</v>
      </c>
      <c r="B80" s="33">
        <v>1</v>
      </c>
    </row>
    <row r="81" spans="1:2">
      <c r="A81" s="33" t="s">
        <v>130</v>
      </c>
      <c r="B81" s="33">
        <v>7</v>
      </c>
    </row>
    <row r="82" spans="1:2">
      <c r="A82" s="33" t="s">
        <v>131</v>
      </c>
      <c r="B82" s="33">
        <v>5</v>
      </c>
    </row>
    <row r="83" spans="1:2">
      <c r="A83" s="33" t="s">
        <v>132</v>
      </c>
      <c r="B83" s="33">
        <v>10</v>
      </c>
    </row>
    <row r="84" spans="1:2">
      <c r="A84" s="33" t="s">
        <v>133</v>
      </c>
      <c r="B84" s="33">
        <v>1</v>
      </c>
    </row>
    <row r="85" spans="1:2">
      <c r="A85" s="33" t="s">
        <v>134</v>
      </c>
      <c r="B85" s="33">
        <v>3</v>
      </c>
    </row>
    <row r="86" spans="1:2">
      <c r="A86" s="33" t="s">
        <v>135</v>
      </c>
      <c r="B86" s="33">
        <v>5</v>
      </c>
    </row>
    <row r="87" spans="1:2">
      <c r="A87" s="33" t="s">
        <v>136</v>
      </c>
      <c r="B87" s="33">
        <v>1</v>
      </c>
    </row>
    <row r="88" spans="1:2">
      <c r="A88" s="33" t="s">
        <v>137</v>
      </c>
      <c r="B88" s="33">
        <v>7</v>
      </c>
    </row>
    <row r="89" spans="1:2">
      <c r="A89" s="33" t="s">
        <v>132</v>
      </c>
      <c r="B89" s="33">
        <v>1</v>
      </c>
    </row>
    <row r="90" spans="1:2">
      <c r="A90" s="33" t="s">
        <v>138</v>
      </c>
      <c r="B90" s="33">
        <v>8</v>
      </c>
    </row>
    <row r="91" spans="1:2">
      <c r="A91" s="33" t="s">
        <v>139</v>
      </c>
      <c r="B91" s="33">
        <v>9</v>
      </c>
    </row>
    <row r="92" spans="1:2">
      <c r="A92" s="33" t="s">
        <v>140</v>
      </c>
      <c r="B92" s="33">
        <v>5</v>
      </c>
    </row>
    <row r="93" spans="1:2">
      <c r="A93" s="33" t="s">
        <v>141</v>
      </c>
      <c r="B93" s="33">
        <v>10</v>
      </c>
    </row>
    <row r="94" spans="1:2">
      <c r="A94" s="33" t="s">
        <v>142</v>
      </c>
      <c r="B94" s="33">
        <v>1</v>
      </c>
    </row>
    <row r="95" spans="1:2">
      <c r="A95" s="33" t="s">
        <v>143</v>
      </c>
      <c r="B95" s="33">
        <v>2</v>
      </c>
    </row>
    <row r="96" spans="1:2">
      <c r="A96" s="33" t="s">
        <v>144</v>
      </c>
      <c r="B96" s="33">
        <v>2</v>
      </c>
    </row>
    <row r="97" spans="1:2">
      <c r="A97" s="33" t="s">
        <v>145</v>
      </c>
      <c r="B97" s="33">
        <v>4</v>
      </c>
    </row>
    <row r="98" spans="1:2">
      <c r="A98" s="33" t="s">
        <v>146</v>
      </c>
      <c r="B98" s="33">
        <v>10</v>
      </c>
    </row>
    <row r="99" spans="1:2">
      <c r="A99" s="33" t="s">
        <v>147</v>
      </c>
      <c r="B99" s="33">
        <v>1</v>
      </c>
    </row>
    <row r="100" spans="1:2">
      <c r="A100" s="33" t="s">
        <v>148</v>
      </c>
      <c r="B100" s="33">
        <v>8</v>
      </c>
    </row>
    <row r="101" spans="1:2">
      <c r="A101" s="33" t="s">
        <v>149</v>
      </c>
      <c r="B101" s="33">
        <v>2</v>
      </c>
    </row>
    <row r="102" spans="1:2">
      <c r="A102" s="33" t="s">
        <v>150</v>
      </c>
      <c r="B102" s="33">
        <v>2</v>
      </c>
    </row>
    <row r="103" spans="1:2">
      <c r="A103" s="33" t="s">
        <v>151</v>
      </c>
      <c r="B103" s="33">
        <v>8</v>
      </c>
    </row>
    <row r="104" spans="1:2">
      <c r="A104" s="33" t="s">
        <v>152</v>
      </c>
      <c r="B104" s="33">
        <v>9</v>
      </c>
    </row>
    <row r="105" spans="1:2">
      <c r="A105" s="33" t="s">
        <v>143</v>
      </c>
      <c r="B105" s="33">
        <v>2</v>
      </c>
    </row>
    <row r="106" spans="1:2">
      <c r="A106" s="33" t="s">
        <v>153</v>
      </c>
      <c r="B106" s="33">
        <v>2</v>
      </c>
    </row>
    <row r="107" spans="1:2">
      <c r="A107" s="33" t="s">
        <v>154</v>
      </c>
      <c r="B107" s="33">
        <v>4</v>
      </c>
    </row>
    <row r="108" spans="1:2">
      <c r="A108" s="33" t="s">
        <v>155</v>
      </c>
      <c r="B108" s="33">
        <v>6</v>
      </c>
    </row>
    <row r="109" spans="1:2">
      <c r="A109" s="33" t="s">
        <v>156</v>
      </c>
      <c r="B109" s="33">
        <v>1</v>
      </c>
    </row>
    <row r="110" spans="1:2">
      <c r="A110" s="33" t="s">
        <v>157</v>
      </c>
      <c r="B110" s="33">
        <v>3</v>
      </c>
    </row>
    <row r="111" spans="1:2">
      <c r="A111" s="33" t="s">
        <v>158</v>
      </c>
      <c r="B111" s="33">
        <v>5</v>
      </c>
    </row>
    <row r="112" spans="1:2">
      <c r="A112" s="33" t="s">
        <v>159</v>
      </c>
      <c r="B112" s="33">
        <v>9</v>
      </c>
    </row>
    <row r="113" spans="1:2">
      <c r="A113" s="33" t="s">
        <v>160</v>
      </c>
      <c r="B113" s="33">
        <v>4</v>
      </c>
    </row>
    <row r="114" spans="1:2">
      <c r="A114" s="33" t="s">
        <v>161</v>
      </c>
      <c r="B114" s="33">
        <v>6</v>
      </c>
    </row>
    <row r="115" spans="1:2">
      <c r="A115" s="33" t="s">
        <v>162</v>
      </c>
      <c r="B115" s="33">
        <v>1</v>
      </c>
    </row>
    <row r="116" spans="1:2">
      <c r="A116" s="33" t="s">
        <v>163</v>
      </c>
      <c r="B116" s="33">
        <v>3</v>
      </c>
    </row>
    <row r="117" spans="1:2">
      <c r="A117" s="33" t="s">
        <v>164</v>
      </c>
      <c r="B117" s="33">
        <v>5</v>
      </c>
    </row>
    <row r="118" spans="1:2">
      <c r="A118" s="33" t="s">
        <v>165</v>
      </c>
      <c r="B118" s="33">
        <v>1</v>
      </c>
    </row>
    <row r="119" spans="1:2">
      <c r="A119" s="33" t="s">
        <v>166</v>
      </c>
      <c r="B119" s="33">
        <v>7</v>
      </c>
    </row>
    <row r="120" spans="1:2">
      <c r="A120" s="33" t="s">
        <v>167</v>
      </c>
      <c r="B120" s="33">
        <v>5</v>
      </c>
    </row>
    <row r="121" spans="1:2">
      <c r="A121" s="33" t="s">
        <v>168</v>
      </c>
      <c r="B121" s="33">
        <v>10</v>
      </c>
    </row>
    <row r="122" spans="1:2">
      <c r="A122" s="33" t="s">
        <v>169</v>
      </c>
      <c r="B122" s="33">
        <v>1</v>
      </c>
    </row>
    <row r="123" spans="1:2">
      <c r="A123" s="33" t="s">
        <v>170</v>
      </c>
      <c r="B123" s="33">
        <v>8</v>
      </c>
    </row>
    <row r="124" spans="1:2">
      <c r="A124" s="33" t="s">
        <v>171</v>
      </c>
      <c r="B124" s="33">
        <v>9</v>
      </c>
    </row>
    <row r="125" spans="1:2">
      <c r="A125" s="33" t="s">
        <v>172</v>
      </c>
      <c r="B125" s="33">
        <v>2</v>
      </c>
    </row>
    <row r="126" spans="1:2">
      <c r="A126" s="33" t="s">
        <v>172</v>
      </c>
      <c r="B126" s="33">
        <v>2</v>
      </c>
    </row>
    <row r="127" spans="1:2">
      <c r="A127" s="33" t="s">
        <v>173</v>
      </c>
      <c r="B127" s="33">
        <v>4</v>
      </c>
    </row>
    <row r="128" spans="1:2">
      <c r="A128" s="33" t="s">
        <v>174</v>
      </c>
      <c r="B128" s="33">
        <v>1</v>
      </c>
    </row>
    <row r="129" spans="1:2">
      <c r="A129" s="33" t="s">
        <v>175</v>
      </c>
      <c r="B129" s="33">
        <v>7</v>
      </c>
    </row>
    <row r="130" spans="1:2">
      <c r="A130" s="33" t="s">
        <v>176</v>
      </c>
      <c r="B130" s="33">
        <v>10</v>
      </c>
    </row>
    <row r="131" spans="1:2">
      <c r="A131" s="33" t="s">
        <v>177</v>
      </c>
      <c r="B131" s="33">
        <v>1</v>
      </c>
    </row>
    <row r="132" spans="1:2">
      <c r="A132" s="33" t="s">
        <v>178</v>
      </c>
      <c r="B132" s="33">
        <v>8</v>
      </c>
    </row>
    <row r="133" spans="1:2">
      <c r="A133" s="33" t="s">
        <v>179</v>
      </c>
      <c r="B133" s="33">
        <v>9</v>
      </c>
    </row>
    <row r="134" spans="1:2">
      <c r="A134" s="33" t="s">
        <v>180</v>
      </c>
      <c r="B134" s="33">
        <v>2</v>
      </c>
    </row>
    <row r="135" spans="1:2">
      <c r="A135" s="33" t="s">
        <v>181</v>
      </c>
      <c r="B135" s="33">
        <v>2</v>
      </c>
    </row>
    <row r="136" spans="1:2">
      <c r="A136" s="33" t="s">
        <v>182</v>
      </c>
      <c r="B136" s="33">
        <v>4</v>
      </c>
    </row>
    <row r="137" spans="1:2">
      <c r="A137" s="33" t="s">
        <v>183</v>
      </c>
      <c r="B137" s="33">
        <v>6</v>
      </c>
    </row>
    <row r="138" spans="1:2">
      <c r="A138" s="33" t="s">
        <v>184</v>
      </c>
      <c r="B138" s="33">
        <v>1</v>
      </c>
    </row>
    <row r="139" spans="1:2">
      <c r="A139" s="33" t="s">
        <v>185</v>
      </c>
      <c r="B139" s="33">
        <v>3</v>
      </c>
    </row>
    <row r="140" spans="1:2">
      <c r="A140" s="33" t="s">
        <v>186</v>
      </c>
      <c r="B140" s="33">
        <v>5</v>
      </c>
    </row>
    <row r="141" spans="1:2">
      <c r="A141" s="33" t="s">
        <v>187</v>
      </c>
      <c r="B141" s="33">
        <v>1</v>
      </c>
    </row>
    <row r="142" spans="1:2">
      <c r="A142" s="33" t="s">
        <v>188</v>
      </c>
      <c r="B142" s="33">
        <v>5</v>
      </c>
    </row>
    <row r="143" spans="1:2">
      <c r="A143" s="33" t="s">
        <v>189</v>
      </c>
      <c r="B143" s="33">
        <v>10</v>
      </c>
    </row>
    <row r="144" spans="1:2">
      <c r="A144" s="33" t="s">
        <v>190</v>
      </c>
      <c r="B144" s="33">
        <v>1</v>
      </c>
    </row>
    <row r="145" spans="1:2">
      <c r="A145" s="33" t="s">
        <v>191</v>
      </c>
      <c r="B145" s="33">
        <v>8</v>
      </c>
    </row>
    <row r="146" spans="1:2">
      <c r="A146" s="33" t="s">
        <v>192</v>
      </c>
      <c r="B146" s="33">
        <v>9</v>
      </c>
    </row>
    <row r="147" spans="1:2">
      <c r="A147" s="33" t="s">
        <v>193</v>
      </c>
      <c r="B147" s="33">
        <v>2</v>
      </c>
    </row>
    <row r="148" spans="1:2">
      <c r="A148" s="33" t="s">
        <v>194</v>
      </c>
      <c r="B148" s="33">
        <v>2</v>
      </c>
    </row>
    <row r="149" spans="1:2">
      <c r="A149" s="33" t="s">
        <v>195</v>
      </c>
      <c r="B149" s="33">
        <v>4</v>
      </c>
    </row>
    <row r="150" spans="1:2">
      <c r="A150" s="33" t="s">
        <v>196</v>
      </c>
      <c r="B150" s="33">
        <v>6</v>
      </c>
    </row>
    <row r="151" spans="1:2">
      <c r="A151" s="33" t="s">
        <v>197</v>
      </c>
      <c r="B151" s="33">
        <v>7</v>
      </c>
    </row>
    <row r="152" spans="1:2">
      <c r="A152" s="33" t="s">
        <v>198</v>
      </c>
      <c r="B152" s="33">
        <v>5</v>
      </c>
    </row>
    <row r="153" spans="1:2">
      <c r="A153" s="33" t="s">
        <v>199</v>
      </c>
      <c r="B153" s="33">
        <v>10</v>
      </c>
    </row>
    <row r="154" spans="1:2">
      <c r="A154" s="33" t="s">
        <v>200</v>
      </c>
      <c r="B154" s="33">
        <v>1</v>
      </c>
    </row>
    <row r="155" spans="1:2">
      <c r="A155" s="33" t="s">
        <v>201</v>
      </c>
      <c r="B155" s="33">
        <v>8</v>
      </c>
    </row>
    <row r="156" spans="1:2">
      <c r="A156" s="33" t="s">
        <v>202</v>
      </c>
      <c r="B156" s="33">
        <v>9</v>
      </c>
    </row>
    <row r="157" spans="1:2">
      <c r="A157" s="33" t="s">
        <v>203</v>
      </c>
      <c r="B157" s="33">
        <v>2</v>
      </c>
    </row>
    <row r="158" spans="1:2">
      <c r="A158" s="33" t="s">
        <v>204</v>
      </c>
      <c r="B158" s="33">
        <v>2</v>
      </c>
    </row>
    <row r="159" spans="1:2">
      <c r="A159" s="33" t="s">
        <v>205</v>
      </c>
      <c r="B159" s="33">
        <v>1</v>
      </c>
    </row>
    <row r="160" spans="1:2">
      <c r="A160" s="33" t="s">
        <v>206</v>
      </c>
      <c r="B160" s="33">
        <v>3</v>
      </c>
    </row>
    <row r="161" spans="1:2">
      <c r="A161" s="33" t="s">
        <v>207</v>
      </c>
      <c r="B161" s="33">
        <v>5</v>
      </c>
    </row>
    <row r="162" spans="1:2">
      <c r="A162" s="33" t="s">
        <v>208</v>
      </c>
      <c r="B162" s="33">
        <v>4</v>
      </c>
    </row>
    <row r="163" spans="1:2">
      <c r="A163" s="33" t="s">
        <v>209</v>
      </c>
      <c r="B163" s="33">
        <v>6</v>
      </c>
    </row>
    <row r="164" spans="1:2">
      <c r="A164" s="33" t="s">
        <v>210</v>
      </c>
      <c r="B164" s="33">
        <v>1</v>
      </c>
    </row>
    <row r="165" spans="1:2">
      <c r="A165" s="33" t="s">
        <v>211</v>
      </c>
      <c r="B165" s="33">
        <v>5</v>
      </c>
    </row>
    <row r="166" spans="1:2">
      <c r="A166" s="33" t="s">
        <v>212</v>
      </c>
      <c r="B166" s="33">
        <v>10</v>
      </c>
    </row>
    <row r="167" spans="1:2">
      <c r="A167" s="33" t="s">
        <v>213</v>
      </c>
      <c r="B167" s="33">
        <v>3</v>
      </c>
    </row>
    <row r="168" spans="1:2">
      <c r="A168" s="33" t="s">
        <v>214</v>
      </c>
      <c r="B168" s="33">
        <v>5</v>
      </c>
    </row>
    <row r="169" spans="1:2">
      <c r="A169" s="33" t="s">
        <v>215</v>
      </c>
      <c r="B169" s="33">
        <v>1</v>
      </c>
    </row>
    <row r="170" spans="1:2">
      <c r="A170" s="33" t="s">
        <v>216</v>
      </c>
      <c r="B170" s="33">
        <v>7</v>
      </c>
    </row>
    <row r="171" spans="1:2">
      <c r="A171" s="33" t="s">
        <v>217</v>
      </c>
      <c r="B171" s="33">
        <v>1</v>
      </c>
    </row>
    <row r="172" spans="1:2">
      <c r="A172" s="33" t="s">
        <v>218</v>
      </c>
      <c r="B172" s="33">
        <v>7</v>
      </c>
    </row>
    <row r="173" spans="1:2">
      <c r="A173" s="33" t="s">
        <v>219</v>
      </c>
      <c r="B173" s="33">
        <v>1</v>
      </c>
    </row>
    <row r="174" spans="1:2">
      <c r="A174" s="33" t="s">
        <v>220</v>
      </c>
      <c r="B174" s="33">
        <v>8</v>
      </c>
    </row>
    <row r="175" spans="1:2">
      <c r="A175" s="33" t="s">
        <v>221</v>
      </c>
      <c r="B175" s="33">
        <v>9</v>
      </c>
    </row>
    <row r="176" spans="1:2">
      <c r="A176" s="33" t="s">
        <v>222</v>
      </c>
      <c r="B176" s="33">
        <v>2</v>
      </c>
    </row>
    <row r="177" spans="1:2">
      <c r="A177" s="33" t="s">
        <v>222</v>
      </c>
      <c r="B177" s="33">
        <v>2</v>
      </c>
    </row>
    <row r="178" spans="1:2">
      <c r="A178" s="33" t="s">
        <v>223</v>
      </c>
      <c r="B178" s="33">
        <v>4</v>
      </c>
    </row>
    <row r="179" spans="1:2">
      <c r="A179" s="33" t="s">
        <v>224</v>
      </c>
      <c r="B179" s="33">
        <v>5</v>
      </c>
    </row>
    <row r="180" spans="1:2">
      <c r="A180" s="33" t="s">
        <v>225</v>
      </c>
      <c r="B180" s="33">
        <v>10</v>
      </c>
    </row>
    <row r="181" spans="1:2">
      <c r="A181" s="33" t="s">
        <v>226</v>
      </c>
      <c r="B181" s="33">
        <v>1</v>
      </c>
    </row>
    <row r="182" spans="1:2">
      <c r="A182" s="33" t="s">
        <v>227</v>
      </c>
      <c r="B182" s="33">
        <v>8</v>
      </c>
    </row>
    <row r="183" spans="1:2">
      <c r="A183" s="33" t="s">
        <v>228</v>
      </c>
      <c r="B183" s="33">
        <v>9</v>
      </c>
    </row>
    <row r="184" spans="1:2">
      <c r="A184" s="33" t="s">
        <v>229</v>
      </c>
      <c r="B184" s="33">
        <v>2</v>
      </c>
    </row>
    <row r="185" spans="1:2">
      <c r="A185" s="33" t="s">
        <v>230</v>
      </c>
      <c r="B185" s="33">
        <v>10</v>
      </c>
    </row>
    <row r="186" spans="1:2">
      <c r="A186" s="33" t="s">
        <v>231</v>
      </c>
      <c r="B186" s="33">
        <v>1</v>
      </c>
    </row>
    <row r="187" spans="1:2">
      <c r="A187" s="33" t="s">
        <v>83</v>
      </c>
      <c r="B187" s="33">
        <v>8</v>
      </c>
    </row>
    <row r="188" spans="1:2">
      <c r="A188" s="33" t="s">
        <v>82</v>
      </c>
      <c r="B188" s="33">
        <v>9</v>
      </c>
    </row>
    <row r="189" spans="1:2">
      <c r="A189" s="33" t="s">
        <v>232</v>
      </c>
      <c r="B189" s="33">
        <v>2</v>
      </c>
    </row>
    <row r="190" spans="1:2">
      <c r="A190" s="33" t="s">
        <v>233</v>
      </c>
      <c r="B190" s="33">
        <v>2</v>
      </c>
    </row>
    <row r="191" spans="1:2">
      <c r="A191" s="33" t="s">
        <v>234</v>
      </c>
      <c r="B191" s="33">
        <v>4</v>
      </c>
    </row>
    <row r="192" spans="1:2">
      <c r="A192" s="33" t="s">
        <v>235</v>
      </c>
      <c r="B192" s="33">
        <v>6</v>
      </c>
    </row>
    <row r="193" spans="1:2">
      <c r="A193" s="33" t="s">
        <v>236</v>
      </c>
      <c r="B193" s="33">
        <v>2</v>
      </c>
    </row>
    <row r="194" spans="1:2">
      <c r="A194" s="33" t="s">
        <v>237</v>
      </c>
      <c r="B194" s="33">
        <v>4</v>
      </c>
    </row>
    <row r="195" spans="1:2">
      <c r="A195" s="33" t="s">
        <v>238</v>
      </c>
      <c r="B195" s="33">
        <v>6</v>
      </c>
    </row>
    <row r="196" spans="1:2">
      <c r="A196" s="33" t="s">
        <v>239</v>
      </c>
      <c r="B196" s="33">
        <v>1</v>
      </c>
    </row>
    <row r="197" spans="1:2">
      <c r="A197" s="33" t="s">
        <v>240</v>
      </c>
      <c r="B197" s="33">
        <v>3</v>
      </c>
    </row>
    <row r="198" spans="1:2">
      <c r="A198" s="33" t="s">
        <v>241</v>
      </c>
      <c r="B198" s="33">
        <v>5</v>
      </c>
    </row>
    <row r="199" spans="1:2">
      <c r="A199" s="33" t="s">
        <v>242</v>
      </c>
      <c r="B199" s="33">
        <v>1</v>
      </c>
    </row>
    <row r="200" spans="1:2">
      <c r="A200" s="33" t="s">
        <v>243</v>
      </c>
      <c r="B200" s="33">
        <v>7</v>
      </c>
    </row>
    <row r="201" spans="1:2">
      <c r="A201" s="33" t="s">
        <v>244</v>
      </c>
      <c r="B201" s="33">
        <v>1</v>
      </c>
    </row>
    <row r="202" spans="1:2">
      <c r="A202" s="33" t="s">
        <v>245</v>
      </c>
      <c r="B202" s="33">
        <v>3</v>
      </c>
    </row>
    <row r="203" spans="1:2">
      <c r="A203" s="33" t="s">
        <v>246</v>
      </c>
      <c r="B203" s="33">
        <v>5</v>
      </c>
    </row>
    <row r="204" spans="1:2">
      <c r="A204" s="33" t="s">
        <v>247</v>
      </c>
      <c r="B204" s="33">
        <v>1</v>
      </c>
    </row>
    <row r="205" spans="1:2">
      <c r="A205" s="33" t="s">
        <v>248</v>
      </c>
      <c r="B205" s="33">
        <v>7</v>
      </c>
    </row>
    <row r="206" spans="1:2">
      <c r="A206" s="33" t="s">
        <v>249</v>
      </c>
      <c r="B206" s="33">
        <v>5</v>
      </c>
    </row>
    <row r="207" spans="1:2">
      <c r="A207" s="33" t="s">
        <v>250</v>
      </c>
      <c r="B207" s="33">
        <v>5</v>
      </c>
    </row>
    <row r="208" spans="1:2">
      <c r="A208" s="33" t="s">
        <v>251</v>
      </c>
      <c r="B208" s="33">
        <v>10</v>
      </c>
    </row>
    <row r="209" spans="1:2">
      <c r="A209" s="33" t="s">
        <v>252</v>
      </c>
      <c r="B209" s="33">
        <v>1</v>
      </c>
    </row>
    <row r="210" spans="1:2">
      <c r="A210" s="33" t="s">
        <v>253</v>
      </c>
      <c r="B210" s="33">
        <v>8</v>
      </c>
    </row>
    <row r="211" spans="1:2">
      <c r="A211" s="33" t="s">
        <v>254</v>
      </c>
      <c r="B211" s="33">
        <v>9</v>
      </c>
    </row>
    <row r="212" spans="1:2">
      <c r="A212" s="33" t="s">
        <v>255</v>
      </c>
      <c r="B212" s="33">
        <v>2</v>
      </c>
    </row>
    <row r="213" spans="1:2">
      <c r="A213" s="33" t="s">
        <v>244</v>
      </c>
      <c r="B213" s="33">
        <v>10</v>
      </c>
    </row>
    <row r="214" spans="1:2">
      <c r="A214" s="33" t="s">
        <v>235</v>
      </c>
      <c r="B214" s="33">
        <v>1</v>
      </c>
    </row>
    <row r="215" spans="1:2">
      <c r="A215" s="33" t="s">
        <v>234</v>
      </c>
      <c r="B215" s="33">
        <v>8</v>
      </c>
    </row>
    <row r="216" spans="1:2">
      <c r="A216" s="33" t="s">
        <v>232</v>
      </c>
      <c r="B216" s="33">
        <v>9</v>
      </c>
    </row>
    <row r="217" spans="1:2">
      <c r="A217" s="33" t="s">
        <v>256</v>
      </c>
      <c r="B217" s="33">
        <v>2</v>
      </c>
    </row>
    <row r="218" spans="1:2">
      <c r="A218" s="33" t="s">
        <v>257</v>
      </c>
      <c r="B218" s="33">
        <v>4</v>
      </c>
    </row>
    <row r="219" spans="1:2">
      <c r="A219" s="33" t="s">
        <v>258</v>
      </c>
      <c r="B219" s="33">
        <v>6</v>
      </c>
    </row>
    <row r="220" spans="1:2">
      <c r="A220" s="33" t="s">
        <v>259</v>
      </c>
      <c r="B220" s="33">
        <v>1</v>
      </c>
    </row>
    <row r="221" spans="1:2">
      <c r="A221" s="33" t="s">
        <v>260</v>
      </c>
      <c r="B221" s="33">
        <v>3</v>
      </c>
    </row>
    <row r="222" spans="1:2">
      <c r="A222" s="33" t="s">
        <v>261</v>
      </c>
      <c r="B222" s="33">
        <v>5</v>
      </c>
    </row>
    <row r="223" spans="1:2">
      <c r="A223" s="33" t="s">
        <v>262</v>
      </c>
      <c r="B223" s="33">
        <v>7</v>
      </c>
    </row>
    <row r="224" spans="1:2">
      <c r="A224" s="33" t="s">
        <v>263</v>
      </c>
      <c r="B224" s="33">
        <v>5</v>
      </c>
    </row>
    <row r="225" spans="1:2">
      <c r="A225" s="33" t="s">
        <v>264</v>
      </c>
      <c r="B225" s="33">
        <v>10</v>
      </c>
    </row>
    <row r="226" spans="1:2">
      <c r="A226" s="33" t="s">
        <v>265</v>
      </c>
      <c r="B226" s="33">
        <v>1</v>
      </c>
    </row>
    <row r="227" spans="1:2">
      <c r="A227" s="33" t="s">
        <v>266</v>
      </c>
      <c r="B227" s="33">
        <v>8</v>
      </c>
    </row>
    <row r="228" spans="1:2">
      <c r="A228" s="33" t="s">
        <v>267</v>
      </c>
      <c r="B228" s="33">
        <v>9</v>
      </c>
    </row>
    <row r="229" spans="1:2">
      <c r="A229" s="33" t="s">
        <v>268</v>
      </c>
      <c r="B229" s="33">
        <v>6</v>
      </c>
    </row>
    <row r="230" spans="1:2">
      <c r="A230" s="33" t="s">
        <v>268</v>
      </c>
      <c r="B230" s="33">
        <v>1</v>
      </c>
    </row>
    <row r="231" spans="1:2">
      <c r="A231" s="33" t="s">
        <v>269</v>
      </c>
      <c r="B231" s="33">
        <v>2</v>
      </c>
    </row>
    <row r="232" spans="1:2">
      <c r="A232" s="33" t="s">
        <v>270</v>
      </c>
      <c r="B232" s="33">
        <v>2</v>
      </c>
    </row>
    <row r="233" spans="1:2">
      <c r="A233" s="33" t="s">
        <v>271</v>
      </c>
      <c r="B233" s="33">
        <v>1</v>
      </c>
    </row>
    <row r="234" spans="1:2">
      <c r="A234" s="33" t="s">
        <v>272</v>
      </c>
      <c r="B234" s="33">
        <v>3</v>
      </c>
    </row>
    <row r="235" spans="1:2">
      <c r="A235" s="33" t="s">
        <v>272</v>
      </c>
      <c r="B235" s="33">
        <v>5</v>
      </c>
    </row>
    <row r="236" spans="1:2">
      <c r="A236" s="33" t="s">
        <v>273</v>
      </c>
      <c r="B236" s="33">
        <v>1</v>
      </c>
    </row>
    <row r="237" spans="1:2">
      <c r="A237" s="33" t="s">
        <v>274</v>
      </c>
      <c r="B237" s="33">
        <v>7</v>
      </c>
    </row>
    <row r="238" spans="1:2">
      <c r="A238" s="33" t="s">
        <v>275</v>
      </c>
      <c r="B238" s="33">
        <v>5</v>
      </c>
    </row>
    <row r="239" spans="1:2">
      <c r="A239" s="33" t="s">
        <v>77</v>
      </c>
      <c r="B239" s="33">
        <v>10</v>
      </c>
    </row>
    <row r="240" spans="1:2">
      <c r="A240" s="33" t="s">
        <v>276</v>
      </c>
      <c r="B240" s="33">
        <v>1</v>
      </c>
    </row>
    <row r="241" spans="1:2">
      <c r="A241" s="33" t="s">
        <v>277</v>
      </c>
      <c r="B241" s="33">
        <v>8</v>
      </c>
    </row>
    <row r="242" spans="1:2">
      <c r="A242" s="33" t="s">
        <v>278</v>
      </c>
      <c r="B242" s="33">
        <v>9</v>
      </c>
    </row>
    <row r="243" spans="1:2">
      <c r="A243" s="33" t="s">
        <v>279</v>
      </c>
      <c r="B243" s="33">
        <v>2</v>
      </c>
    </row>
    <row r="244" spans="1:2">
      <c r="A244" s="33" t="s">
        <v>280</v>
      </c>
      <c r="B244" s="33">
        <v>2</v>
      </c>
    </row>
    <row r="245" spans="1:2">
      <c r="A245" s="33" t="s">
        <v>281</v>
      </c>
      <c r="B245" s="33">
        <v>4</v>
      </c>
    </row>
    <row r="246" spans="1:2">
      <c r="A246" s="33" t="s">
        <v>282</v>
      </c>
      <c r="B246" s="33">
        <v>6</v>
      </c>
    </row>
    <row r="247" spans="1:2">
      <c r="A247" s="33" t="s">
        <v>283</v>
      </c>
      <c r="B247" s="33">
        <v>1</v>
      </c>
    </row>
    <row r="248" spans="1:2">
      <c r="A248" s="33" t="s">
        <v>284</v>
      </c>
      <c r="B248" s="33">
        <v>3</v>
      </c>
    </row>
    <row r="249" spans="1:2">
      <c r="A249" s="33" t="s">
        <v>285</v>
      </c>
      <c r="B249" s="33">
        <v>5</v>
      </c>
    </row>
    <row r="250" spans="1:2">
      <c r="A250" s="33" t="s">
        <v>286</v>
      </c>
      <c r="B250" s="33">
        <v>1</v>
      </c>
    </row>
    <row r="251" spans="1:2">
      <c r="A251" s="33" t="s">
        <v>287</v>
      </c>
      <c r="B251" s="33">
        <v>7</v>
      </c>
    </row>
    <row r="252" spans="1:2">
      <c r="A252" s="33" t="s">
        <v>288</v>
      </c>
      <c r="B252" s="33">
        <v>4</v>
      </c>
    </row>
    <row r="253" spans="1:2">
      <c r="A253" s="33" t="s">
        <v>289</v>
      </c>
      <c r="B253" s="33">
        <v>5</v>
      </c>
    </row>
    <row r="254" spans="1:2">
      <c r="A254" s="33" t="s">
        <v>290</v>
      </c>
      <c r="B254" s="33">
        <v>10</v>
      </c>
    </row>
    <row r="255" spans="1:2">
      <c r="A255" s="33" t="s">
        <v>291</v>
      </c>
      <c r="B255" s="33">
        <v>1</v>
      </c>
    </row>
    <row r="256" spans="1:2">
      <c r="A256" s="33" t="s">
        <v>292</v>
      </c>
      <c r="B256" s="33">
        <v>8</v>
      </c>
    </row>
    <row r="257" spans="1:2">
      <c r="A257" s="33" t="s">
        <v>293</v>
      </c>
      <c r="B257" s="33">
        <v>9</v>
      </c>
    </row>
    <row r="258" spans="1:2">
      <c r="A258" s="33" t="s">
        <v>294</v>
      </c>
      <c r="B258" s="33">
        <v>2</v>
      </c>
    </row>
    <row r="259" spans="1:2">
      <c r="A259" s="33" t="s">
        <v>295</v>
      </c>
      <c r="B259" s="33">
        <v>2</v>
      </c>
    </row>
    <row r="260" spans="1:2">
      <c r="A260" s="33" t="s">
        <v>296</v>
      </c>
      <c r="B260" s="33">
        <v>4</v>
      </c>
    </row>
    <row r="261" spans="1:2">
      <c r="A261" s="33" t="s">
        <v>297</v>
      </c>
      <c r="B261" s="33">
        <v>6</v>
      </c>
    </row>
    <row r="262" spans="1:2">
      <c r="A262" s="33" t="s">
        <v>298</v>
      </c>
      <c r="B262" s="33">
        <v>1</v>
      </c>
    </row>
    <row r="263" spans="1:2">
      <c r="A263" s="33" t="s">
        <v>299</v>
      </c>
      <c r="B263" s="33">
        <v>3</v>
      </c>
    </row>
    <row r="264" spans="1:2">
      <c r="A264" s="33" t="s">
        <v>300</v>
      </c>
      <c r="B264" s="33">
        <v>5</v>
      </c>
    </row>
    <row r="265" spans="1:2">
      <c r="A265" s="33" t="s">
        <v>301</v>
      </c>
      <c r="B265" s="33">
        <v>1</v>
      </c>
    </row>
    <row r="266" spans="1:2">
      <c r="A266" s="33" t="s">
        <v>302</v>
      </c>
      <c r="B266" s="33">
        <v>7</v>
      </c>
    </row>
    <row r="267" spans="1:2">
      <c r="A267" s="33" t="s">
        <v>303</v>
      </c>
      <c r="B267" s="33">
        <v>5</v>
      </c>
    </row>
    <row r="268" spans="1:2">
      <c r="A268" s="33" t="s">
        <v>304</v>
      </c>
      <c r="B268" s="33">
        <v>10</v>
      </c>
    </row>
    <row r="269" spans="1:2">
      <c r="A269" s="33" t="s">
        <v>305</v>
      </c>
      <c r="B269" s="33">
        <v>1</v>
      </c>
    </row>
    <row r="270" spans="1:2">
      <c r="A270" s="33" t="s">
        <v>306</v>
      </c>
      <c r="B270" s="33">
        <v>8</v>
      </c>
    </row>
    <row r="271" spans="1:2">
      <c r="A271" s="33" t="s">
        <v>307</v>
      </c>
      <c r="B271" s="33">
        <v>9</v>
      </c>
    </row>
    <row r="272" spans="1:2">
      <c r="A272" s="33" t="s">
        <v>308</v>
      </c>
      <c r="B272" s="33">
        <v>2</v>
      </c>
    </row>
    <row r="273" spans="1:2">
      <c r="A273" s="33" t="s">
        <v>309</v>
      </c>
      <c r="B273" s="33">
        <v>2</v>
      </c>
    </row>
    <row r="274" spans="1:2">
      <c r="A274" s="33" t="s">
        <v>310</v>
      </c>
      <c r="B274" s="33">
        <v>4</v>
      </c>
    </row>
    <row r="275" spans="1:2">
      <c r="A275" s="33" t="s">
        <v>311</v>
      </c>
      <c r="B275" s="33">
        <v>6</v>
      </c>
    </row>
    <row r="276" spans="1:2">
      <c r="A276" s="33" t="s">
        <v>312</v>
      </c>
      <c r="B276" s="33">
        <v>1</v>
      </c>
    </row>
    <row r="277" spans="1:2">
      <c r="A277" s="33" t="s">
        <v>313</v>
      </c>
      <c r="B277" s="33">
        <v>3</v>
      </c>
    </row>
    <row r="278" spans="1:2">
      <c r="A278" s="33" t="s">
        <v>314</v>
      </c>
      <c r="B278" s="33">
        <v>5</v>
      </c>
    </row>
    <row r="279" spans="1:2">
      <c r="A279" s="33" t="s">
        <v>315</v>
      </c>
      <c r="B279" s="33">
        <v>1</v>
      </c>
    </row>
    <row r="280" spans="1:2">
      <c r="A280" s="33" t="s">
        <v>316</v>
      </c>
      <c r="B280" s="33">
        <v>7</v>
      </c>
    </row>
    <row r="281" spans="1:2">
      <c r="A281" s="33" t="s">
        <v>317</v>
      </c>
      <c r="B281" s="33">
        <v>5</v>
      </c>
    </row>
    <row r="282" spans="1:2">
      <c r="A282" s="33" t="s">
        <v>318</v>
      </c>
      <c r="B282" s="33">
        <v>10</v>
      </c>
    </row>
    <row r="283" spans="1:2">
      <c r="A283" s="33" t="s">
        <v>319</v>
      </c>
      <c r="B283" s="33">
        <v>1</v>
      </c>
    </row>
    <row r="284" spans="1:2">
      <c r="A284" s="33" t="s">
        <v>320</v>
      </c>
      <c r="B284" s="33">
        <v>8</v>
      </c>
    </row>
    <row r="285" spans="1:2">
      <c r="A285" s="33" t="s">
        <v>321</v>
      </c>
      <c r="B285" s="33">
        <v>9</v>
      </c>
    </row>
    <row r="286" spans="1:2">
      <c r="A286" s="33" t="s">
        <v>322</v>
      </c>
      <c r="B286" s="33">
        <v>2</v>
      </c>
    </row>
    <row r="287" spans="1:2">
      <c r="A287" s="33" t="s">
        <v>323</v>
      </c>
      <c r="B287" s="33">
        <v>2</v>
      </c>
    </row>
    <row r="288" spans="1:2">
      <c r="A288" s="33" t="s">
        <v>324</v>
      </c>
      <c r="B288" s="33">
        <v>4</v>
      </c>
    </row>
    <row r="289" spans="1:2">
      <c r="A289" s="33" t="s">
        <v>325</v>
      </c>
      <c r="B289" s="33">
        <v>6</v>
      </c>
    </row>
    <row r="290" spans="1:2">
      <c r="A290" s="33" t="s">
        <v>203</v>
      </c>
      <c r="B290" s="33">
        <v>1</v>
      </c>
    </row>
    <row r="291" spans="1:2">
      <c r="A291" s="33" t="s">
        <v>326</v>
      </c>
      <c r="B291" s="33">
        <v>3</v>
      </c>
    </row>
  </sheetData>
  <mergeCells count="5">
    <mergeCell ref="G4:H4"/>
    <mergeCell ref="G8:G9"/>
    <mergeCell ref="H8:H9"/>
    <mergeCell ref="G14:G15"/>
    <mergeCell ref="H14:H15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"/>
  <sheetViews>
    <sheetView tabSelected="1" workbookViewId="0">
      <selection activeCell="C22" sqref="C22"/>
    </sheetView>
  </sheetViews>
  <sheetFormatPr defaultColWidth="9.28515625" defaultRowHeight="18.75"/>
  <cols>
    <col min="1" max="1" width="29.7109375" style="1" customWidth="1"/>
    <col min="2" max="6" width="28" style="1" customWidth="1"/>
    <col min="7" max="9" width="9.28515625" style="1"/>
    <col min="10" max="10" width="12.5703125" style="1" customWidth="1"/>
    <col min="11" max="11" width="12.7109375" style="1" customWidth="1"/>
    <col min="12" max="16384" width="9.28515625" style="1"/>
  </cols>
  <sheetData>
    <row r="1" spans="1:11">
      <c r="A1" s="17" t="s">
        <v>42</v>
      </c>
    </row>
    <row r="3" spans="1:11" ht="23.25">
      <c r="A3" s="3" t="s">
        <v>11</v>
      </c>
    </row>
    <row r="4" spans="1:11" ht="21">
      <c r="A4" s="15" t="s">
        <v>37</v>
      </c>
      <c r="B4" s="13" t="s">
        <v>8</v>
      </c>
      <c r="C4" s="13" t="s">
        <v>9</v>
      </c>
      <c r="D4" s="13" t="s">
        <v>10</v>
      </c>
    </row>
    <row r="5" spans="1:11" ht="21">
      <c r="A5" s="14" t="s">
        <v>2</v>
      </c>
      <c r="B5" s="44">
        <v>55000</v>
      </c>
      <c r="C5" s="44">
        <v>70000</v>
      </c>
      <c r="D5" s="44">
        <v>80000</v>
      </c>
      <c r="E5" s="2"/>
      <c r="F5" s="2"/>
      <c r="G5" s="2"/>
      <c r="H5" s="2"/>
      <c r="I5" s="2"/>
      <c r="J5" s="2"/>
      <c r="K5" s="2"/>
    </row>
    <row r="6" spans="1:11" ht="21">
      <c r="A6" s="14" t="s">
        <v>3</v>
      </c>
      <c r="B6" s="44">
        <v>10000</v>
      </c>
      <c r="C6" s="44">
        <v>15000</v>
      </c>
      <c r="D6" s="44">
        <v>15000</v>
      </c>
      <c r="E6" s="2"/>
      <c r="F6" s="2"/>
      <c r="G6" s="2"/>
      <c r="H6" s="2"/>
      <c r="I6" s="2"/>
      <c r="J6" s="2"/>
      <c r="K6" s="2"/>
    </row>
    <row r="7" spans="1:11" ht="21">
      <c r="A7" s="14" t="s">
        <v>6</v>
      </c>
      <c r="B7" s="44">
        <v>40000</v>
      </c>
      <c r="C7" s="44">
        <v>29000</v>
      </c>
      <c r="D7" s="44">
        <v>52000</v>
      </c>
      <c r="E7" s="2"/>
      <c r="F7" s="2"/>
      <c r="G7" s="2"/>
      <c r="H7" s="2"/>
      <c r="I7" s="2"/>
      <c r="J7" s="2"/>
      <c r="K7" s="2"/>
    </row>
    <row r="8" spans="1:11" ht="21">
      <c r="A8" s="14" t="s">
        <v>4</v>
      </c>
      <c r="B8" s="44">
        <v>51000</v>
      </c>
      <c r="C8" s="44">
        <v>25000</v>
      </c>
      <c r="D8" s="44">
        <v>38000</v>
      </c>
      <c r="E8" s="2"/>
      <c r="F8" s="2"/>
      <c r="G8" s="2"/>
      <c r="H8" s="2"/>
      <c r="I8" s="2"/>
      <c r="J8" s="2"/>
      <c r="K8" s="2"/>
    </row>
    <row r="9" spans="1:11" ht="21">
      <c r="A9" s="14" t="s">
        <v>5</v>
      </c>
      <c r="B9" s="44">
        <v>18000</v>
      </c>
      <c r="C9" s="44">
        <v>27000</v>
      </c>
      <c r="D9" s="44">
        <v>26000</v>
      </c>
      <c r="E9" s="2"/>
      <c r="F9" s="2"/>
      <c r="G9" s="2"/>
      <c r="H9" s="2"/>
      <c r="I9" s="2"/>
      <c r="J9" s="2"/>
      <c r="K9" s="2"/>
    </row>
    <row r="10" spans="1:11" ht="21">
      <c r="A10" s="14" t="s">
        <v>7</v>
      </c>
      <c r="B10" s="44">
        <v>23000</v>
      </c>
      <c r="C10" s="44">
        <v>54000</v>
      </c>
      <c r="D10" s="44">
        <v>38000</v>
      </c>
      <c r="E10" s="2"/>
      <c r="F10" s="2"/>
      <c r="G10" s="2"/>
      <c r="H10" s="2"/>
      <c r="I10" s="2"/>
      <c r="J10" s="2"/>
      <c r="K10" s="2"/>
    </row>
    <row r="11" spans="1:11" ht="37.5">
      <c r="A11" s="16" t="s">
        <v>38</v>
      </c>
      <c r="B11" s="45">
        <f>COUNTIF(B5:B10,"&gt;50000")</f>
        <v>2</v>
      </c>
      <c r="C11" s="45">
        <f t="shared" ref="C11:D11" si="0">COUNTIF(C5:C10,"&gt;50000")</f>
        <v>2</v>
      </c>
      <c r="D11" s="45">
        <f t="shared" si="0"/>
        <v>2</v>
      </c>
    </row>
    <row r="12" spans="1:11" ht="61.5" customHeight="1">
      <c r="A12" s="16" t="s">
        <v>40</v>
      </c>
      <c r="B12" s="29">
        <f>SUMIF(B5:B10,"&gt;30000")</f>
        <v>146000</v>
      </c>
      <c r="C12" s="29">
        <f t="shared" ref="C12:D12" si="1">SUMIF(C5:C10,"&gt;30000")</f>
        <v>124000</v>
      </c>
      <c r="D12" s="29">
        <f t="shared" si="1"/>
        <v>208000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9746E8B3FF2B2428A148D03C368DE4A" ma:contentTypeVersion="13" ma:contentTypeDescription="Vytvoří nový dokument" ma:contentTypeScope="" ma:versionID="9d94cbd9914ef4824ad723384dcde04a">
  <xsd:schema xmlns:xsd="http://www.w3.org/2001/XMLSchema" xmlns:xs="http://www.w3.org/2001/XMLSchema" xmlns:p="http://schemas.microsoft.com/office/2006/metadata/properties" xmlns:ns3="ea85f2e0-d32a-4312-be8a-c00aff2510cf" xmlns:ns4="c52afa11-cb76-49c2-a807-b2856752eead" targetNamespace="http://schemas.microsoft.com/office/2006/metadata/properties" ma:root="true" ma:fieldsID="f78cee60d32ecf43d3cd1d8f83bcfaea" ns3:_="" ns4:_="">
    <xsd:import namespace="ea85f2e0-d32a-4312-be8a-c00aff2510cf"/>
    <xsd:import namespace="c52afa11-cb76-49c2-a807-b2856752ee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5f2e0-d32a-4312-be8a-c00aff2510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2afa11-cb76-49c2-a807-b2856752eea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DB0FA0-12D9-4D28-B27B-1C6F3587A2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85f2e0-d32a-4312-be8a-c00aff2510cf"/>
    <ds:schemaRef ds:uri="c52afa11-cb76-49c2-a807-b2856752ee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B829DA-0D6D-453A-BC6F-475CCDB7C7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6ED598-7BF8-44BA-99D8-66F9D80EE2B0}">
  <ds:schemaRefs>
    <ds:schemaRef ds:uri="http://purl.org/dc/elements/1.1/"/>
    <ds:schemaRef ds:uri="http://schemas.microsoft.com/office/2006/metadata/properties"/>
    <ds:schemaRef ds:uri="http://www.w3.org/XML/1998/namespace"/>
    <ds:schemaRef ds:uri="ea85f2e0-d32a-4312-be8a-c00aff2510cf"/>
    <ds:schemaRef ds:uri="http://schemas.microsoft.com/office/2006/documentManagement/types"/>
    <ds:schemaRef ds:uri="c52afa11-cb76-49c2-a807-b2856752eead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A; Nebo</vt:lpstr>
      <vt:lpstr>A; Nebo2</vt:lpstr>
      <vt:lpstr>statistické funkce</vt:lpstr>
      <vt:lpstr>Auta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SVOBODOVÁ Jitka</dc:creator>
  <cp:lastModifiedBy>Jan Syrovec</cp:lastModifiedBy>
  <dcterms:created xsi:type="dcterms:W3CDTF">2015-01-13T11:33:34Z</dcterms:created>
  <dcterms:modified xsi:type="dcterms:W3CDTF">2025-11-27T08:27:21Z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0x01010019746E8B3FF2B2428A148D03C368DE4A</vt:lpwstr>
  </property>
</Properties>
</file>