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B7099948-7B10-43E1-A0CA-88DB7BED8C86}" xr6:coauthVersionLast="47" xr6:coauthVersionMax="47" xr10:uidLastSave="{00000000-0000-0000-0000-000000000000}"/>
  <bookViews>
    <workbookView xWindow="-120" yWindow="-120" windowWidth="29040" windowHeight="15720" xr2:uid="{CEDB863C-813C-4A90-9DA2-776CB76C919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<sst xmlns="http://schemas.openxmlformats.org/spreadsheetml/2006/main" count="12" uniqueCount="12">
  <si>
    <t>SUMA</t>
  </si>
  <si>
    <t>PRŮMĚR</t>
  </si>
  <si>
    <t>MAXIMUM</t>
  </si>
  <si>
    <t>MINIMUM</t>
  </si>
  <si>
    <t>POČET</t>
  </si>
  <si>
    <t>POČET2</t>
  </si>
  <si>
    <t>ODMOCNINA</t>
  </si>
  <si>
    <t>ABS</t>
  </si>
  <si>
    <t>SOUČIN</t>
  </si>
  <si>
    <t>SUMIF</t>
  </si>
  <si>
    <t>COUNTIF</t>
  </si>
  <si>
    <t>Sloupec1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</si>
</sst>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60AC4-A8D5-48C4-B5E0-802F7F67B577}" name="Tabulka1" displayName="Tabulka1" ref="B1:M6" totalsRowShown="0">
  <autoFilter ref="B1:M6" xr:uid="{7BE60AC4-A8D5-48C4-B5E0-802F7F67B577}"/>
  <tableColumns count="12">
    <tableColumn id="1" xr3:uid="{618721AA-53BA-4383-8DAE-5B4DF89F77FD}" name="Sloupec1"/>
    <tableColumn id="2" xr3:uid="{26AEC364-A2D1-4315-8CBD-329F8DF70AF5}" name="SUMA">
      <calculatedColumnFormula>SUM(B2,B8)</calculatedColumnFormula>
    </tableColumn>
    <tableColumn id="3" xr3:uid="{E39EC9E0-0DFA-4958-9F84-9D19D835513E}" name="PRŮMĚR">
      <calculatedColumnFormula>AVERAGE(B2,B8)</calculatedColumnFormula>
    </tableColumn>
    <tableColumn id="4" xr3:uid="{B1FE0AC2-5F0B-4757-8FEE-4481E0BF45C1}" name="MAXIMUM">
      <calculatedColumnFormula>MAX(B2,B8)</calculatedColumnFormula>
    </tableColumn>
    <tableColumn id="5" xr3:uid="{6F71677F-F5E3-4492-B3DF-0BEF1BBD652D}" name="MINIMUM">
      <calculatedColumnFormula>MIN(B2,B8)</calculatedColumnFormula>
    </tableColumn>
    <tableColumn id="6" xr3:uid="{85A6C8AE-A0A4-4C2D-BA33-A8D60EF3B091}" name="POČET">
      <calculatedColumnFormula>COUNT(B2,B8)</calculatedColumnFormula>
    </tableColumn>
    <tableColumn id="7" xr3:uid="{A7E451BC-FD4D-44AA-B1B1-2266B21E8DFF}" name="POČET2">
      <calculatedColumnFormula>COUNTA(B2,B8)</calculatedColumnFormula>
    </tableColumn>
    <tableColumn id="8" xr3:uid="{C80496FE-9D61-4DAD-B15E-A9D64D103347}" name="ODMOCNINA">
      <calculatedColumnFormula>SQRT(B2)</calculatedColumnFormula>
    </tableColumn>
    <tableColumn id="9" xr3:uid="{C00C4378-5557-4BE9-8A61-BE28C21E1BC9}" name="ABS">
      <calculatedColumnFormula>ABS(B2)</calculatedColumnFormula>
    </tableColumn>
    <tableColumn id="10" xr3:uid="{08F97FD5-C82B-4E6C-B206-177CE56D1C3D}" name="SOUČIN">
      <calculatedColumnFormula>PRODUCT(B2,B8)</calculatedColumnFormula>
    </tableColumn>
    <tableColumn id="11" xr3:uid="{D09C446E-004A-492D-AAB8-E55551581D4D}" name="SUMIF">
      <calculatedColumnFormula>SUMIF(B2, ,B8)</calculatedColumnFormula>
    </tableColumn>
    <tableColumn id="12" xr3:uid="{630960AD-E749-44BC-B47F-24DDF4082E78}" name="COUNTIF">
      <calculatedColumnFormula>COUNTIF(B2,)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A7BF-DCCF-42F3-A3D9-E6B301028113}">
  <dimension ref="B1:M12"/>
  <sheetViews>
    <sheetView tabSelected="1" workbookViewId="0">
      <selection activeCell="F12" sqref="F12"/>
    </sheetView>
  </sheetViews>
  <sheetFormatPr defaultRowHeight="15" x14ac:dyDescent="0.25"/>
  <cols>
    <col min="2" max="2" width="11.42578125" customWidth="1"/>
    <col min="4" max="4" width="10.85546875" customWidth="1"/>
    <col min="5" max="5" width="12" customWidth="1"/>
    <col min="6" max="6" width="11.7109375" customWidth="1"/>
    <col min="7" max="7" width="9.28515625" customWidth="1"/>
    <col min="8" max="8" width="10.28515625" customWidth="1"/>
    <col min="9" max="9" width="15" customWidth="1"/>
    <col min="11" max="11" width="10.42578125" customWidth="1"/>
    <col min="13" max="13" width="11.28515625" customWidth="1"/>
  </cols>
  <sheetData>
    <row r="1" spans="2:13" x14ac:dyDescent="0.25"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2:13" x14ac:dyDescent="0.25">
      <c r="B2">
        <v>12</v>
      </c>
      <c r="C2">
        <f>SUM(B2,B8)</f>
        <v>13</v>
      </c>
      <c r="D2">
        <f>AVERAGE(B2,B8)</f>
        <v>6.5</v>
      </c>
      <c r="E2">
        <f>MAX(B2,B8)</f>
        <v>12</v>
      </c>
      <c r="F2">
        <f>MIN(B2,B8)</f>
        <v>1</v>
      </c>
      <c r="G2">
        <f>COUNT(B2,B8)</f>
        <v>2</v>
      </c>
      <c r="H2">
        <f>COUNTA(B2,B8)</f>
        <v>2</v>
      </c>
      <c r="I2">
        <f>SQRT(B2)</f>
        <v>3.4641016151377544</v>
      </c>
      <c r="J2">
        <f>ABS(B2)</f>
        <v>12</v>
      </c>
      <c r="K2">
        <f>PRODUCT(B2,B8)</f>
        <v>12</v>
      </c>
      <c r="L2">
        <f>SUMIF(B2, ,B8)</f>
        <v>0</v>
      </c>
      <c r="M2">
        <f>COUNTIF(B2,)</f>
        <v>0</v>
      </c>
    </row>
    <row r="3" spans="2:13" x14ac:dyDescent="0.25">
      <c r="B3">
        <v>16</v>
      </c>
      <c r="C3">
        <f t="shared" ref="C3:C6" si="0">SUM(B3,B9)</f>
        <v>18</v>
      </c>
      <c r="D3">
        <f t="shared" ref="D3:D6" si="1">AVERAGE(B3,B9)</f>
        <v>9</v>
      </c>
      <c r="E3">
        <f t="shared" ref="E3:E6" si="2">MAX(B3,B9)</f>
        <v>16</v>
      </c>
      <c r="F3">
        <f t="shared" ref="F3:F6" si="3">MIN(B3,B9)</f>
        <v>2</v>
      </c>
      <c r="G3">
        <f t="shared" ref="G3:G6" si="4">COUNT(B3,B9)</f>
        <v>2</v>
      </c>
      <c r="H3">
        <f t="shared" ref="H3:H6" si="5">COUNTA(B3,B9)</f>
        <v>2</v>
      </c>
      <c r="I3">
        <f t="shared" ref="I3:I6" si="6">SQRT(B3)</f>
        <v>4</v>
      </c>
      <c r="J3">
        <f t="shared" ref="J3:J6" si="7">ABS(B3)</f>
        <v>16</v>
      </c>
      <c r="K3">
        <f t="shared" ref="K3:K6" si="8">PRODUCT(B3,B9)</f>
        <v>32</v>
      </c>
      <c r="L3">
        <f t="shared" ref="L3:L6" si="9">SUMIF(B3, ,B9)</f>
        <v>0</v>
      </c>
      <c r="M3">
        <f t="shared" ref="M3:M6" si="10">COUNTIF(B3,)</f>
        <v>0</v>
      </c>
    </row>
    <row r="4" spans="2:13" x14ac:dyDescent="0.25">
      <c r="B4">
        <v>-89</v>
      </c>
      <c r="C4">
        <f t="shared" si="0"/>
        <v>-86</v>
      </c>
      <c r="D4">
        <f t="shared" si="1"/>
        <v>-43</v>
      </c>
      <c r="E4">
        <f t="shared" si="2"/>
        <v>3</v>
      </c>
      <c r="F4">
        <f t="shared" si="3"/>
        <v>-89</v>
      </c>
      <c r="G4">
        <f t="shared" si="4"/>
        <v>2</v>
      </c>
      <c r="H4">
        <f t="shared" si="5"/>
        <v>2</v>
      </c>
      <c r="I4" t="e">
        <f t="shared" si="6"/>
        <v>#NUM!</v>
      </c>
      <c r="J4">
        <f t="shared" si="7"/>
        <v>89</v>
      </c>
      <c r="K4">
        <f t="shared" si="8"/>
        <v>-267</v>
      </c>
      <c r="L4">
        <f t="shared" si="9"/>
        <v>0</v>
      </c>
      <c r="M4">
        <f t="shared" si="10"/>
        <v>0</v>
      </c>
    </row>
    <row r="5" spans="2:13" x14ac:dyDescent="0.25">
      <c r="B5">
        <v>78</v>
      </c>
      <c r="C5">
        <f t="shared" si="0"/>
        <v>82</v>
      </c>
      <c r="D5">
        <f t="shared" si="1"/>
        <v>41</v>
      </c>
      <c r="E5">
        <f t="shared" si="2"/>
        <v>78</v>
      </c>
      <c r="F5">
        <f t="shared" si="3"/>
        <v>4</v>
      </c>
      <c r="G5">
        <f t="shared" si="4"/>
        <v>2</v>
      </c>
      <c r="H5">
        <f t="shared" si="5"/>
        <v>2</v>
      </c>
      <c r="I5">
        <f t="shared" si="6"/>
        <v>8.8317608663278477</v>
      </c>
      <c r="J5">
        <f t="shared" si="7"/>
        <v>78</v>
      </c>
      <c r="K5">
        <f t="shared" si="8"/>
        <v>312</v>
      </c>
      <c r="L5">
        <f t="shared" si="9"/>
        <v>0</v>
      </c>
      <c r="M5">
        <f t="shared" si="10"/>
        <v>0</v>
      </c>
    </row>
    <row r="6" spans="2:13" x14ac:dyDescent="0.25">
      <c r="B6">
        <v>36</v>
      </c>
      <c r="C6">
        <f t="shared" si="0"/>
        <v>41</v>
      </c>
      <c r="D6">
        <f t="shared" si="1"/>
        <v>20.5</v>
      </c>
      <c r="E6">
        <f t="shared" si="2"/>
        <v>36</v>
      </c>
      <c r="F6">
        <f t="shared" si="3"/>
        <v>5</v>
      </c>
      <c r="G6">
        <f t="shared" si="4"/>
        <v>2</v>
      </c>
      <c r="H6">
        <f t="shared" si="5"/>
        <v>2</v>
      </c>
      <c r="I6">
        <f t="shared" si="6"/>
        <v>6</v>
      </c>
      <c r="J6">
        <f t="shared" si="7"/>
        <v>36</v>
      </c>
      <c r="K6">
        <f t="shared" si="8"/>
        <v>180</v>
      </c>
      <c r="L6">
        <f t="shared" si="9"/>
        <v>0</v>
      </c>
      <c r="M6">
        <f t="shared" si="10"/>
        <v>0</v>
      </c>
    </row>
    <row r="8" spans="2:13" x14ac:dyDescent="0.25">
      <c r="B8">
        <v>1</v>
      </c>
    </row>
    <row r="9" spans="2:13" x14ac:dyDescent="0.25">
      <c r="B9">
        <v>2</v>
      </c>
    </row>
    <row r="10" spans="2:13" x14ac:dyDescent="0.25">
      <c r="B10">
        <v>3</v>
      </c>
    </row>
    <row r="11" spans="2:13" x14ac:dyDescent="0.25">
      <c r="B11">
        <v>4</v>
      </c>
    </row>
    <row r="12" spans="2:13" x14ac:dyDescent="0.25">
      <c r="B12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Syrovec</dc:creator>
  <cp:lastModifiedBy>Jan Syrovec</cp:lastModifiedBy>
  <dcterms:created xsi:type="dcterms:W3CDTF">2025-10-02T06:03:47Z</dcterms:created>
  <dcterms:modified xsi:type="dcterms:W3CDTF">2025-10-02T06:16:53Z</dcterms:modified>
</cp:coreProperties>
</file>