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29C990D2-3F0F-4ABA-A387-16BBB985323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úkol1" sheetId="1" r:id="rId1"/>
    <sheet name="úkol2" sheetId="2" r:id="rId2"/>
    <sheet name="úkol3" sheetId="3" r:id="rId3"/>
    <sheet name="Graf" sheetId="6" r:id="rId4"/>
    <sheet name="úkol4" sheetId="4" r:id="rId5"/>
    <sheet name="List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4" l="1"/>
  <c r="D13" i="4"/>
  <c r="E13" i="4"/>
  <c r="F13" i="4"/>
  <c r="B13" i="4"/>
  <c r="G11" i="4"/>
  <c r="G12" i="4"/>
  <c r="G10" i="4"/>
  <c r="C14" i="3"/>
  <c r="D14" i="3"/>
  <c r="E14" i="3"/>
  <c r="F14" i="3"/>
  <c r="B14" i="3"/>
  <c r="G12" i="3"/>
  <c r="G13" i="3"/>
  <c r="G11" i="3"/>
</calcChain>
</file>

<file path=xl/sharedStrings.xml><?xml version="1.0" encoding="utf-8"?>
<sst xmlns="http://schemas.openxmlformats.org/spreadsheetml/2006/main" count="57" uniqueCount="46">
  <si>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</si>
  <si>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</si>
  <si>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</si>
  <si>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</si>
  <si>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</si>
  <si>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</si>
  <si>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</si>
  <si>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</si>
  <si>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</si>
  <si>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</si>
  <si>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</si>
  <si>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</si>
  <si>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Teplota</t>
  </si>
  <si>
    <t>km</t>
  </si>
  <si>
    <t>po</t>
  </si>
  <si>
    <t>út</t>
  </si>
  <si>
    <t>st</t>
  </si>
  <si>
    <t>čt</t>
  </si>
  <si>
    <t>pá</t>
  </si>
  <si>
    <t>celkem</t>
  </si>
  <si>
    <t>Kopecký</t>
  </si>
  <si>
    <t>Machalík</t>
  </si>
  <si>
    <t>Vondráček</t>
  </si>
  <si>
    <t>hodin</t>
  </si>
  <si>
    <t>1. Vyvořte z tabulky Teplot graf, který bude znázorňovat vývoj teplot za všechny měsíce.</t>
  </si>
  <si>
    <t>1. Dopočítejte  celkové údaje u jednotlivých řidičů.</t>
  </si>
  <si>
    <t>3. Graf viditelně upravte, zvolte jiný styl grafu (nenechávejte výchozí Styl)</t>
  </si>
  <si>
    <t>2. Vytvořte prostý výsečový graf Styl 7 znázorňující počet kilometrů celkově ujetých jednotlivými řidiči za celý týden. Graf přesuňte na nový list pojmenovaný Graf, list bude čtvrtý v pořadí.</t>
  </si>
  <si>
    <t>2. Vytvořte třírozměrný sloupcový graf doby jízdy, v němž na vodorovné ose budou dny, na svislé ose hodiny a na zbývající ose řidiči. Graf vložte do buňky J1 (levý horní roh bude v buňce J1)</t>
  </si>
  <si>
    <t>Vytvořte na tento list tabulku a graf podle obrázku.</t>
  </si>
  <si>
    <t xml:space="preserve">3. Upravte formát pozadí grafu, přideje popisky hodnot. </t>
  </si>
  <si>
    <t>2. Graf vložte do buňky A12 (levý horní roh do buňky A12), velikost grafu upravte na 9 x 14 cm.</t>
  </si>
  <si>
    <t>4. Zkopírujte vyhotovený graf a vložte ho na nový list, ale ne jako samostatný objekt v listu. Změňte styl grafu na libovolný styl z nabídky grafů.</t>
  </si>
  <si>
    <t>1. Dopočítejte  celkové údaje u jednotlivých řidičů. Zarovnejte všechna čísla na střed.</t>
  </si>
  <si>
    <t>3. Vytvořte pruhový prostorový skládaný graf kilometrů ujetých jednotlivými řidiči od pondělí do pátku. Graf vložte na tento list do buňky K1. Přidejte do grafu popisky os (Kilometry a Dny v týdnu).</t>
  </si>
  <si>
    <t>Tabulka ujetých km</t>
  </si>
  <si>
    <t>Tabulka Doby jízdy (včetně prostojů)</t>
  </si>
  <si>
    <t>Země</t>
  </si>
  <si>
    <t>Počet českých tustistů</t>
  </si>
  <si>
    <t>Rusko</t>
  </si>
  <si>
    <t>Itálie</t>
  </si>
  <si>
    <t>Německo</t>
  </si>
  <si>
    <t>Rakousko</t>
  </si>
  <si>
    <t>Polsko</t>
  </si>
  <si>
    <t>Maďarsko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</si>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</sst>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°C&quot;"/>
  </numFmts>
  <fonts count="8" x14ac:knownFonts="1">
    <font>
      <sz val="11"/>
      <color theme="1"/>
      <name val="Calibri"/>
      <family val="2"/>
      <charset val="238"/>
      <scheme val="minor"/>
    </font>
    <font>
      <b/>
      <i/>
      <u/>
      <sz val="12"/>
      <color indexed="10"/>
      <name val="Arial CE"/>
      <family val="2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70C0"/>
      <name val="Arial CE"/>
      <charset val="238"/>
    </font>
    <font>
      <sz val="12"/>
      <color rgb="FF00B050"/>
      <name val="Arial CE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/>
  </cellStyleXfs>
  <cellXfs count="34">
    <xf numFmtId="0" fontId="0" fillId="0" borderId="0" xfId="0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Protection="1">
      <protection locked="0"/>
    </xf>
    <xf numFmtId="0" fontId="3" fillId="0" borderId="2" xfId="0" applyFont="1" applyBorder="1" applyAlignment="1">
      <alignment horizontal="right"/>
    </xf>
    <xf numFmtId="0" fontId="3" fillId="3" borderId="2" xfId="0" applyFont="1" applyFill="1" applyBorder="1" applyProtection="1">
      <protection locked="0"/>
    </xf>
    <xf numFmtId="0" fontId="3" fillId="0" borderId="2" xfId="0" applyFont="1" applyBorder="1"/>
    <xf numFmtId="0" fontId="0" fillId="0" borderId="2" xfId="0" applyBorder="1"/>
    <xf numFmtId="0" fontId="4" fillId="4" borderId="0" xfId="0" applyFont="1" applyFill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5" fillId="0" borderId="0" xfId="0" applyFont="1"/>
    <xf numFmtId="0" fontId="6" fillId="0" borderId="0" xfId="1" applyFont="1"/>
    <xf numFmtId="0" fontId="2" fillId="6" borderId="0" xfId="2" applyFill="1"/>
    <xf numFmtId="0" fontId="0" fillId="6" borderId="2" xfId="0" applyFill="1" applyBorder="1"/>
    <xf numFmtId="0" fontId="0" fillId="6" borderId="2" xfId="0" applyFill="1" applyBorder="1" applyProtection="1">
      <protection locked="0"/>
    </xf>
    <xf numFmtId="0" fontId="2" fillId="7" borderId="2" xfId="2" applyFill="1" applyBorder="1"/>
    <xf numFmtId="0" fontId="0" fillId="7" borderId="2" xfId="0" applyFill="1" applyBorder="1" applyProtection="1">
      <protection locked="0"/>
    </xf>
    <xf numFmtId="0" fontId="7" fillId="0" borderId="0" xfId="1" applyFont="1"/>
    <xf numFmtId="0" fontId="0" fillId="8" borderId="5" xfId="0" applyFill="1" applyBorder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5" fillId="0" borderId="12" xfId="0" applyFont="1" applyBorder="1"/>
    <xf numFmtId="0" fontId="5" fillId="0" borderId="13" xfId="0" applyFont="1" applyBorder="1"/>
    <xf numFmtId="3" fontId="0" fillId="0" borderId="15" xfId="0" applyNumberFormat="1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13" xfId="0" applyNumberFormat="1" applyBorder="1"/>
  </cellXfs>
  <cellStyles count="3">
    <cellStyle name="jednotka" xfId="2" xr:uid="{00000000-0005-0000-0000-000000000000}"/>
    <cellStyle name="nadpis" xfId="1" xr:uid="{00000000-0005-0000-0000-000001000000}"/>
    <cellStyle name="Normální" xfId="0" builtinId="0"/>
  </cellStyles>
  <dxfs count="0"/>
  <tableStyles count="0" defaultTableStyle="TableStyleMedium9" defaultPivotStyle="PivotStyleLight16"/>
  <colors>
    <mruColors>
      <color rgb="FFB8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Počet českých turistů</a:t>
            </a:r>
            <a:endParaRPr lang="en-US" b="1"/>
          </a:p>
        </c:rich>
      </c:tx>
      <c:layout>
        <c:manualLayout>
          <c:xMode val="edge"/>
          <c:yMode val="edge"/>
          <c:x val="0.325243000874890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rgbClr val="B8B8B8"/>
        </a:solidFill>
        <a:ln>
          <a:noFill/>
        </a:ln>
        <a:effectLst/>
        <a:sp3d/>
      </c:spPr>
    </c:floor>
    <c:sideWall>
      <c:thickness val="0"/>
      <c:spPr>
        <a:solidFill>
          <a:srgbClr val="B8B8B8"/>
        </a:solidFill>
        <a:ln>
          <a:solidFill>
            <a:schemeClr val="accent1"/>
          </a:solidFill>
        </a:ln>
        <a:effectLst/>
        <a:sp3d>
          <a:contourClr>
            <a:schemeClr val="accent1"/>
          </a:contourClr>
        </a:sp3d>
      </c:spPr>
    </c:sideWall>
    <c:backWall>
      <c:thickness val="0"/>
      <c:spPr>
        <a:solidFill>
          <a:srgbClr val="B8B8B8"/>
        </a:solidFill>
        <a:ln>
          <a:solidFill>
            <a:schemeClr val="accent1"/>
          </a:solidFill>
        </a:ln>
        <a:effectLst/>
        <a:sp3d>
          <a:contourClr>
            <a:schemeClr val="accent1"/>
          </a:contourClr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úkol1!$C$4</c:f>
              <c:strCache>
                <c:ptCount val="1"/>
                <c:pt idx="0">
                  <c:v>Počet českých tustistů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úkol1!$B$5:$B$11</c15:sqref>
                  </c15:fullRef>
                </c:ext>
              </c:extLst>
              <c:f>úkol1!$B$5:$B$10</c:f>
              <c:strCache>
                <c:ptCount val="6"/>
                <c:pt idx="0">
                  <c:v>Rusko</c:v>
                </c:pt>
                <c:pt idx="1">
                  <c:v>Itálie</c:v>
                </c:pt>
                <c:pt idx="2">
                  <c:v>Německo</c:v>
                </c:pt>
                <c:pt idx="3">
                  <c:v>Rakousko</c:v>
                </c:pt>
                <c:pt idx="4">
                  <c:v>Polsko</c:v>
                </c:pt>
                <c:pt idx="5">
                  <c:v>Maďarsko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úkol1!$C$5:$C$11</c15:sqref>
                  </c15:fullRef>
                </c:ext>
              </c:extLst>
              <c:f>úkol1!$C$5:$C$10</c:f>
              <c:numCache>
                <c:formatCode>#,##0</c:formatCode>
                <c:ptCount val="6"/>
                <c:pt idx="0">
                  <c:v>89000</c:v>
                </c:pt>
                <c:pt idx="1">
                  <c:v>140000</c:v>
                </c:pt>
                <c:pt idx="2">
                  <c:v>78000</c:v>
                </c:pt>
                <c:pt idx="3">
                  <c:v>102000</c:v>
                </c:pt>
                <c:pt idx="4">
                  <c:v>98000</c:v>
                </c:pt>
                <c:pt idx="5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1-4091-AE70-B1302AEC6C8C}"/>
            </c:ext>
          </c:extLst>
        </c:ser>
        <c:ser>
          <c:idx val="1"/>
          <c:order val="1"/>
          <c:tx>
            <c:strRef>
              <c:f>úkol1!$B$4</c:f>
              <c:strCache>
                <c:ptCount val="1"/>
                <c:pt idx="0">
                  <c:v>Země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Rusko</c:v>
              </c:pt>
              <c:pt idx="1">
                <c:v>Itálie</c:v>
              </c:pt>
              <c:pt idx="2">
                <c:v>Německo</c:v>
              </c:pt>
              <c:pt idx="3">
                <c:v>Rakousko</c:v>
              </c:pt>
              <c:pt idx="4">
                <c:v>Polsko</c:v>
              </c:pt>
              <c:pt idx="5">
                <c:v>Maďarsko</c:v>
              </c:pt>
              <c:pt idx="6">
                <c:v>Celkem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úkol1!$B$5:$B$10</c15:sqref>
                  </c15:fullRef>
                </c:ext>
              </c:extLst>
              <c:f>úkol1!$B$5:$B$10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1-4091-AE70-B1302AEC6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3927887"/>
        <c:axId val="973795583"/>
        <c:axId val="0"/>
      </c:bar3DChart>
      <c:catAx>
        <c:axId val="75392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3795583"/>
        <c:crosses val="autoZero"/>
        <c:auto val="1"/>
        <c:lblAlgn val="ctr"/>
        <c:lblOffset val="100"/>
        <c:noMultiLvlLbl val="0"/>
      </c:catAx>
      <c:valAx>
        <c:axId val="9737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39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0342242063492064"/>
          <c:y val="0.15273148148148147"/>
          <c:w val="0.84760932539682543"/>
          <c:h val="0.67459969135802467"/>
        </c:manualLayout>
      </c:layout>
      <c:lineChart>
        <c:grouping val="standard"/>
        <c:varyColors val="0"/>
        <c:ser>
          <c:idx val="0"/>
          <c:order val="0"/>
          <c:tx>
            <c:strRef>
              <c:f>úkol2!$A$9</c:f>
              <c:strCache>
                <c:ptCount val="1"/>
                <c:pt idx="0">
                  <c:v>Teplota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úkol2!$B$8:$M$8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úkol2!$B$9:$M$9</c:f>
              <c:numCache>
                <c:formatCode>#" °C"</c:formatCode>
                <c:ptCount val="12"/>
                <c:pt idx="0">
                  <c:v>-3</c:v>
                </c:pt>
                <c:pt idx="1">
                  <c:v>-1</c:v>
                </c:pt>
                <c:pt idx="2">
                  <c:v>8</c:v>
                </c:pt>
                <c:pt idx="3">
                  <c:v>17</c:v>
                </c:pt>
                <c:pt idx="4">
                  <c:v>18</c:v>
                </c:pt>
                <c:pt idx="5">
                  <c:v>23</c:v>
                </c:pt>
                <c:pt idx="6">
                  <c:v>27</c:v>
                </c:pt>
                <c:pt idx="7">
                  <c:v>24</c:v>
                </c:pt>
                <c:pt idx="8">
                  <c:v>19</c:v>
                </c:pt>
                <c:pt idx="9">
                  <c:v>14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8-463D-A2A7-945722CECF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6802031"/>
        <c:axId val="756777071"/>
      </c:lineChart>
      <c:catAx>
        <c:axId val="75680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Měsíc</a:t>
                </a:r>
              </a:p>
            </c:rich>
          </c:tx>
          <c:layout>
            <c:manualLayout>
              <c:xMode val="edge"/>
              <c:yMode val="edge"/>
              <c:x val="0.47954746281714783"/>
              <c:y val="0.91210629921259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6777071"/>
        <c:crosses val="autoZero"/>
        <c:auto val="1"/>
        <c:lblAlgn val="ctr"/>
        <c:lblOffset val="100"/>
        <c:noMultiLvlLbl val="0"/>
      </c:catAx>
      <c:valAx>
        <c:axId val="75677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Teplota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7504265091863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&quot; °C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680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885914260717411"/>
          <c:y val="8.3333333333333329E-2"/>
          <c:w val="0.74158530183727034"/>
          <c:h val="0.6375998833479148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úkol3!$B$10</c:f>
              <c:strCache>
                <c:ptCount val="1"/>
                <c:pt idx="0">
                  <c:v>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úkol3!$B$11:$B$13</c:f>
              <c:numCache>
                <c:formatCode>General</c:formatCode>
                <c:ptCount val="3"/>
                <c:pt idx="0">
                  <c:v>638</c:v>
                </c:pt>
                <c:pt idx="1">
                  <c:v>420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8-4314-9B73-83F8FB756478}"/>
            </c:ext>
          </c:extLst>
        </c:ser>
        <c:ser>
          <c:idx val="1"/>
          <c:order val="1"/>
          <c:tx>
            <c:strRef>
              <c:f>úkol3!$C$10</c:f>
              <c:strCache>
                <c:ptCount val="1"/>
                <c:pt idx="0">
                  <c:v>út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úkol3!$C$11:$C$13</c:f>
              <c:numCache>
                <c:formatCode>General</c:formatCode>
                <c:ptCount val="3"/>
                <c:pt idx="0">
                  <c:v>492</c:v>
                </c:pt>
                <c:pt idx="1">
                  <c:v>606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8-4314-9B73-83F8FB756478}"/>
            </c:ext>
          </c:extLst>
        </c:ser>
        <c:ser>
          <c:idx val="2"/>
          <c:order val="2"/>
          <c:tx>
            <c:strRef>
              <c:f>úkol3!$D$10</c:f>
              <c:strCache>
                <c:ptCount val="1"/>
                <c:pt idx="0">
                  <c:v>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úkol3!$D$11:$D$13</c:f>
              <c:numCache>
                <c:formatCode>General</c:formatCode>
                <c:ptCount val="3"/>
                <c:pt idx="0">
                  <c:v>468</c:v>
                </c:pt>
                <c:pt idx="1">
                  <c:v>456</c:v>
                </c:pt>
                <c:pt idx="2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8-4314-9B73-83F8FB756478}"/>
            </c:ext>
          </c:extLst>
        </c:ser>
        <c:ser>
          <c:idx val="3"/>
          <c:order val="3"/>
          <c:tx>
            <c:strRef>
              <c:f>úkol3!$E$10</c:f>
              <c:strCache>
                <c:ptCount val="1"/>
                <c:pt idx="0">
                  <c:v>čt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úkol3!$E$11:$E$13</c:f>
              <c:numCache>
                <c:formatCode>General</c:formatCode>
                <c:ptCount val="3"/>
                <c:pt idx="0">
                  <c:v>744</c:v>
                </c:pt>
                <c:pt idx="1">
                  <c:v>468</c:v>
                </c:pt>
                <c:pt idx="2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8-4314-9B73-83F8FB756478}"/>
            </c:ext>
          </c:extLst>
        </c:ser>
        <c:ser>
          <c:idx val="4"/>
          <c:order val="4"/>
          <c:tx>
            <c:strRef>
              <c:f>úkol3!$F$10</c:f>
              <c:strCache>
                <c:ptCount val="1"/>
                <c:pt idx="0">
                  <c:v>pá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úkol3!$F$11:$F$13</c:f>
              <c:numCache>
                <c:formatCode>General</c:formatCode>
                <c:ptCount val="3"/>
                <c:pt idx="0">
                  <c:v>0</c:v>
                </c:pt>
                <c:pt idx="1">
                  <c:v>216</c:v>
                </c:pt>
                <c:pt idx="2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8-4314-9B73-83F8FB75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1734143"/>
        <c:axId val="1131735583"/>
        <c:axId val="0"/>
      </c:bar3DChart>
      <c:catAx>
        <c:axId val="1131734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 Řidiči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31735583"/>
        <c:crosses val="autoZero"/>
        <c:auto val="1"/>
        <c:lblAlgn val="ctr"/>
        <c:lblOffset val="100"/>
        <c:noMultiLvlLbl val="0"/>
      </c:catAx>
      <c:valAx>
        <c:axId val="11317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Ujeté</a:t>
                </a:r>
                <a:r>
                  <a:rPr lang="cs-CZ" baseline="0"/>
                  <a:t> kilometry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317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1D7-4C32-9CCB-BF101E9222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1D7-4C32-9CCB-BF101E9222D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1D7-4C32-9CCB-BF101E9222D5}"/>
              </c:ext>
            </c:extLst>
          </c:dPt>
          <c:cat>
            <c:strRef>
              <c:f>úkol3!$A$11:$A$13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úkol3!$G$11:$G$13</c:f>
              <c:numCache>
                <c:formatCode>General</c:formatCode>
                <c:ptCount val="3"/>
                <c:pt idx="0">
                  <c:v>2342</c:v>
                </c:pt>
                <c:pt idx="1">
                  <c:v>2166</c:v>
                </c:pt>
                <c:pt idx="2">
                  <c:v>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D7-4C32-9CCB-BF101E922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cs-CZ"/>
              <a:t>Čas jízd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úkol4!$A$10:$A$12</c:f>
              <c:strCache>
                <c:ptCount val="3"/>
                <c:pt idx="0">
                  <c:v>Kopecký</c:v>
                </c:pt>
                <c:pt idx="1">
                  <c:v>Machalík</c:v>
                </c:pt>
                <c:pt idx="2">
                  <c:v>Vondráček</c:v>
                </c:pt>
              </c:strCache>
            </c:strRef>
          </c:cat>
          <c:val>
            <c:numRef>
              <c:f>úkol4!$G$10:$G$12</c:f>
              <c:numCache>
                <c:formatCode>General</c:formatCode>
                <c:ptCount val="3"/>
                <c:pt idx="0">
                  <c:v>42</c:v>
                </c:pt>
                <c:pt idx="1">
                  <c:v>42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9-472B-9BC7-9BDDB851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6997023"/>
        <c:axId val="1226993663"/>
        <c:axId val="0"/>
      </c:bar3DChart>
      <c:catAx>
        <c:axId val="122699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Řidiči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26993663"/>
        <c:crosses val="autoZero"/>
        <c:auto val="1"/>
        <c:lblAlgn val="ctr"/>
        <c:lblOffset val="100"/>
        <c:noMultiLvlLbl val="0"/>
      </c:catAx>
      <c:valAx>
        <c:axId val="122699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Hodiny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269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2</xdr:row>
      <xdr:rowOff>9525</xdr:rowOff>
    </xdr:from>
    <xdr:to>
      <xdr:col>15</xdr:col>
      <xdr:colOff>542925</xdr:colOff>
      <xdr:row>19</xdr:row>
      <xdr:rowOff>92372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15050" y="381000"/>
          <a:ext cx="4352925" cy="3359447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11</xdr:row>
      <xdr:rowOff>157162</xdr:rowOff>
    </xdr:from>
    <xdr:to>
      <xdr:col>7</xdr:col>
      <xdr:colOff>152400</xdr:colOff>
      <xdr:row>26</xdr:row>
      <xdr:rowOff>42862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2B9A0DD-F1D2-B6C9-F7B0-3E022A67A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14287</xdr:rowOff>
    </xdr:from>
    <xdr:to>
      <xdr:col>8</xdr:col>
      <xdr:colOff>163200</xdr:colOff>
      <xdr:row>28</xdr:row>
      <xdr:rowOff>15787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EEF5295-7780-40E4-86E9-AFA338791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0</xdr:row>
      <xdr:rowOff>4762</xdr:rowOff>
    </xdr:from>
    <xdr:to>
      <xdr:col>17</xdr:col>
      <xdr:colOff>295275</xdr:colOff>
      <xdr:row>14</xdr:row>
      <xdr:rowOff>100012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307B987-5EDA-DCA7-5DD9-BE0D184A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F4DF353-E585-4EF4-B6D3-FC298D700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4762</xdr:rowOff>
    </xdr:from>
    <xdr:to>
      <xdr:col>16</xdr:col>
      <xdr:colOff>304800</xdr:colOff>
      <xdr:row>14</xdr:row>
      <xdr:rowOff>90487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0C34E0E-A4C7-E4B2-EE88-6B7CED569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177222</xdr:colOff>
      <xdr:row>17</xdr:row>
      <xdr:rowOff>17046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350CCF4D-0E2C-881E-E5D0-44CE55787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4022" cy="3255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U9" sqref="U9"/>
    </sheetView>
  </sheetViews>
  <sheetFormatPr defaultRowHeight="15" x14ac:dyDescent="0.25"/>
  <cols>
    <col min="2" max="2" width="9.85546875" customWidth="1"/>
    <col min="3" max="3" width="20.140625" customWidth="1"/>
  </cols>
  <sheetData>
    <row r="1" spans="1:5" ht="14.45" customHeight="1" x14ac:dyDescent="0.25">
      <c r="A1" s="21" t="s">
        <v>29</v>
      </c>
      <c r="B1" s="21"/>
      <c r="C1" s="21"/>
      <c r="D1" s="21"/>
      <c r="E1" s="21"/>
    </row>
    <row r="2" spans="1:5" x14ac:dyDescent="0.25">
      <c r="A2" s="21"/>
      <c r="B2" s="21"/>
      <c r="C2" s="21"/>
      <c r="D2" s="21"/>
      <c r="E2" s="21"/>
    </row>
    <row r="3" spans="1:5" ht="15.75" thickBot="1" x14ac:dyDescent="0.3"/>
    <row r="4" spans="1:5" ht="15.75" thickBot="1" x14ac:dyDescent="0.3">
      <c r="B4" s="28" t="s">
        <v>37</v>
      </c>
      <c r="C4" s="29" t="s">
        <v>38</v>
      </c>
    </row>
    <row r="5" spans="1:5" x14ac:dyDescent="0.25">
      <c r="B5" s="27" t="s">
        <v>39</v>
      </c>
      <c r="C5" s="30">
        <v>89000</v>
      </c>
    </row>
    <row r="6" spans="1:5" x14ac:dyDescent="0.25">
      <c r="B6" s="24" t="s">
        <v>40</v>
      </c>
      <c r="C6" s="31">
        <v>140000</v>
      </c>
    </row>
    <row r="7" spans="1:5" x14ac:dyDescent="0.25">
      <c r="B7" s="24" t="s">
        <v>41</v>
      </c>
      <c r="C7" s="31">
        <v>78000</v>
      </c>
    </row>
    <row r="8" spans="1:5" x14ac:dyDescent="0.25">
      <c r="B8" s="24" t="s">
        <v>42</v>
      </c>
      <c r="C8" s="31">
        <v>102000</v>
      </c>
    </row>
    <row r="9" spans="1:5" x14ac:dyDescent="0.25">
      <c r="B9" s="24" t="s">
        <v>43</v>
      </c>
      <c r="C9" s="31">
        <v>98000</v>
      </c>
    </row>
    <row r="10" spans="1:5" ht="15.75" thickBot="1" x14ac:dyDescent="0.3">
      <c r="B10" s="25" t="s">
        <v>44</v>
      </c>
      <c r="C10" s="32">
        <v>110000</v>
      </c>
    </row>
    <row r="11" spans="1:5" ht="15.75" thickBot="1" x14ac:dyDescent="0.3">
      <c r="B11" s="26" t="s">
        <v>45</v>
      </c>
      <c r="C11" s="33">
        <v>617000</v>
      </c>
    </row>
  </sheetData>
  <mergeCells count="1">
    <mergeCell ref="A1:E2"/>
  </mergeCell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K20" sqref="K20"/>
    </sheetView>
  </sheetViews>
  <sheetFormatPr defaultRowHeight="15" x14ac:dyDescent="0.25"/>
  <sheetData>
    <row r="1" spans="1:14" x14ac:dyDescent="0.25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8" t="s">
        <v>30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5">
      <c r="A4" s="8" t="s">
        <v>32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7" spans="1:14" ht="15.75" thickBot="1" x14ac:dyDescent="0.3"/>
    <row r="8" spans="1:14" x14ac:dyDescent="0.25">
      <c r="A8" s="9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1" t="s">
        <v>11</v>
      </c>
    </row>
    <row r="9" spans="1:14" ht="15.75" thickBot="1" x14ac:dyDescent="0.3">
      <c r="A9" s="20" t="s">
        <v>12</v>
      </c>
      <c r="B9" s="1">
        <v>-3</v>
      </c>
      <c r="C9" s="1">
        <v>-1</v>
      </c>
      <c r="D9" s="1">
        <v>8</v>
      </c>
      <c r="E9" s="1">
        <v>17</v>
      </c>
      <c r="F9" s="1">
        <v>18</v>
      </c>
      <c r="G9" s="1">
        <v>23</v>
      </c>
      <c r="H9" s="1">
        <v>27</v>
      </c>
      <c r="I9" s="1">
        <v>24</v>
      </c>
      <c r="J9" s="1">
        <v>19</v>
      </c>
      <c r="K9" s="1">
        <v>14</v>
      </c>
      <c r="L9" s="1">
        <v>9</v>
      </c>
      <c r="M9" s="2">
        <v>3</v>
      </c>
    </row>
  </sheetData>
  <mergeCells count="2">
    <mergeCell ref="A1:I1"/>
    <mergeCell ref="J1:N1"/>
  </mergeCells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I18" sqref="I18"/>
    </sheetView>
  </sheetViews>
  <sheetFormatPr defaultRowHeight="15" x14ac:dyDescent="0.25"/>
  <sheetData>
    <row r="1" spans="1:9" x14ac:dyDescent="0.25">
      <c r="A1" s="8" t="s">
        <v>33</v>
      </c>
      <c r="B1" s="8"/>
      <c r="C1" s="8"/>
      <c r="D1" s="8"/>
      <c r="E1" s="8"/>
      <c r="F1" s="8"/>
      <c r="G1" s="8"/>
      <c r="H1" s="8"/>
      <c r="I1" s="8"/>
    </row>
    <row r="2" spans="1:9" ht="14.45" customHeight="1" x14ac:dyDescent="0.25">
      <c r="A2" s="23" t="s">
        <v>27</v>
      </c>
      <c r="B2" s="23"/>
      <c r="C2" s="23"/>
      <c r="D2" s="23"/>
      <c r="E2" s="23"/>
      <c r="F2" s="23"/>
      <c r="G2" s="23"/>
      <c r="H2" s="23"/>
      <c r="I2" s="23"/>
    </row>
    <row r="3" spans="1:9" x14ac:dyDescent="0.25">
      <c r="A3" s="23"/>
      <c r="B3" s="23"/>
      <c r="C3" s="23"/>
      <c r="D3" s="23"/>
      <c r="E3" s="23"/>
      <c r="F3" s="23"/>
      <c r="G3" s="23"/>
      <c r="H3" s="23"/>
      <c r="I3" s="23"/>
    </row>
    <row r="4" spans="1:9" ht="14.45" customHeight="1" x14ac:dyDescent="0.25">
      <c r="A4" s="23"/>
      <c r="B4" s="23"/>
      <c r="C4" s="23"/>
      <c r="D4" s="23"/>
      <c r="E4" s="23"/>
      <c r="F4" s="23"/>
      <c r="G4" s="23"/>
      <c r="H4" s="23"/>
      <c r="I4" s="23"/>
    </row>
    <row r="5" spans="1:9" ht="14.45" customHeight="1" x14ac:dyDescent="0.25">
      <c r="A5" s="23" t="s">
        <v>34</v>
      </c>
      <c r="B5" s="23"/>
      <c r="C5" s="23"/>
      <c r="D5" s="23"/>
      <c r="E5" s="23"/>
      <c r="F5" s="23"/>
      <c r="G5" s="23"/>
      <c r="H5" s="23"/>
      <c r="I5" s="8"/>
    </row>
    <row r="6" spans="1:9" x14ac:dyDescent="0.25">
      <c r="A6" s="23"/>
      <c r="B6" s="23"/>
      <c r="C6" s="23"/>
      <c r="D6" s="23"/>
      <c r="E6" s="23"/>
      <c r="F6" s="23"/>
      <c r="G6" s="23"/>
      <c r="H6" s="23"/>
      <c r="I6" s="8"/>
    </row>
    <row r="7" spans="1:9" x14ac:dyDescent="0.25">
      <c r="A7" s="23"/>
      <c r="B7" s="23"/>
      <c r="C7" s="23"/>
      <c r="D7" s="23"/>
      <c r="E7" s="23"/>
      <c r="F7" s="23"/>
      <c r="G7" s="23"/>
      <c r="H7" s="23"/>
      <c r="I7" s="8"/>
    </row>
    <row r="9" spans="1:9" ht="15.75" x14ac:dyDescent="0.25">
      <c r="A9" s="13" t="s">
        <v>35</v>
      </c>
      <c r="B9" s="12"/>
      <c r="C9" s="12"/>
      <c r="G9" s="3"/>
    </row>
    <row r="10" spans="1:9" x14ac:dyDescent="0.25">
      <c r="A10" s="1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5" t="s">
        <v>19</v>
      </c>
    </row>
    <row r="11" spans="1:9" x14ac:dyDescent="0.25">
      <c r="A11" s="6" t="s">
        <v>20</v>
      </c>
      <c r="B11" s="7">
        <v>638</v>
      </c>
      <c r="C11" s="7">
        <v>492</v>
      </c>
      <c r="D11" s="7">
        <v>468</v>
      </c>
      <c r="E11" s="7">
        <v>744</v>
      </c>
      <c r="F11" s="7">
        <v>0</v>
      </c>
      <c r="G11" s="15">
        <f>SUM(B11:F11)</f>
        <v>2342</v>
      </c>
    </row>
    <row r="12" spans="1:9" x14ac:dyDescent="0.25">
      <c r="A12" s="6" t="s">
        <v>21</v>
      </c>
      <c r="B12" s="7">
        <v>420</v>
      </c>
      <c r="C12" s="7">
        <v>606</v>
      </c>
      <c r="D12" s="7">
        <v>456</v>
      </c>
      <c r="E12" s="7">
        <v>468</v>
      </c>
      <c r="F12" s="7">
        <v>216</v>
      </c>
      <c r="G12" s="15">
        <f t="shared" ref="G12:G13" si="0">SUM(B12:F12)</f>
        <v>2166</v>
      </c>
    </row>
    <row r="13" spans="1:9" x14ac:dyDescent="0.25">
      <c r="A13" s="6" t="s">
        <v>22</v>
      </c>
      <c r="B13" s="7">
        <v>390</v>
      </c>
      <c r="C13" s="7">
        <v>450</v>
      </c>
      <c r="D13" s="7">
        <v>570</v>
      </c>
      <c r="E13" s="7">
        <v>586</v>
      </c>
      <c r="F13" s="7">
        <v>210</v>
      </c>
      <c r="G13" s="15">
        <f t="shared" si="0"/>
        <v>2206</v>
      </c>
    </row>
    <row r="14" spans="1:9" x14ac:dyDescent="0.25">
      <c r="A14" s="5" t="s">
        <v>19</v>
      </c>
      <c r="B14" s="15">
        <f>SUM(B11:B13)</f>
        <v>1448</v>
      </c>
      <c r="C14" s="15">
        <f t="shared" ref="C14:F14" si="1">SUM(C11:C13)</f>
        <v>1548</v>
      </c>
      <c r="D14" s="15">
        <f t="shared" si="1"/>
        <v>1494</v>
      </c>
      <c r="E14" s="15">
        <f t="shared" si="1"/>
        <v>1798</v>
      </c>
      <c r="F14" s="15">
        <f t="shared" si="1"/>
        <v>426</v>
      </c>
      <c r="G14" s="16"/>
    </row>
  </sheetData>
  <mergeCells count="2">
    <mergeCell ref="A5:H7"/>
    <mergeCell ref="A2:I4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B304-A183-4082-AF34-A2CBE177471C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zoomScaleNormal="100" workbookViewId="0">
      <selection activeCell="H11" sqref="H11"/>
    </sheetView>
  </sheetViews>
  <sheetFormatPr defaultRowHeight="15" x14ac:dyDescent="0.25"/>
  <sheetData>
    <row r="1" spans="1:8" x14ac:dyDescent="0.25">
      <c r="A1" s="22" t="s">
        <v>25</v>
      </c>
      <c r="B1" s="22"/>
      <c r="C1" s="22"/>
      <c r="D1" s="22"/>
      <c r="E1" s="22"/>
      <c r="F1" s="22"/>
      <c r="G1" s="22"/>
      <c r="H1" s="22"/>
    </row>
    <row r="2" spans="1:8" ht="14.45" customHeight="1" x14ac:dyDescent="0.25">
      <c r="A2" s="23" t="s">
        <v>28</v>
      </c>
      <c r="B2" s="23"/>
      <c r="C2" s="23"/>
      <c r="D2" s="23"/>
      <c r="E2" s="23"/>
      <c r="F2" s="23"/>
      <c r="G2" s="23"/>
      <c r="H2" s="23"/>
    </row>
    <row r="3" spans="1:8" x14ac:dyDescent="0.25">
      <c r="A3" s="23"/>
      <c r="B3" s="23"/>
      <c r="C3" s="23"/>
      <c r="D3" s="23"/>
      <c r="E3" s="23"/>
      <c r="F3" s="23"/>
      <c r="G3" s="23"/>
      <c r="H3" s="23"/>
    </row>
    <row r="4" spans="1:8" ht="14.45" customHeight="1" x14ac:dyDescent="0.25">
      <c r="A4" s="23"/>
      <c r="B4" s="23"/>
      <c r="C4" s="23"/>
      <c r="D4" s="23"/>
      <c r="E4" s="23"/>
      <c r="F4" s="23"/>
      <c r="G4" s="23"/>
      <c r="H4" s="23"/>
    </row>
    <row r="5" spans="1:8" x14ac:dyDescent="0.25">
      <c r="A5" s="22" t="s">
        <v>26</v>
      </c>
      <c r="B5" s="22"/>
      <c r="C5" s="22"/>
      <c r="D5" s="22"/>
      <c r="E5" s="22"/>
      <c r="F5" s="22"/>
      <c r="G5" s="22"/>
      <c r="H5" s="22"/>
    </row>
    <row r="8" spans="1:8" ht="15.75" x14ac:dyDescent="0.25">
      <c r="A8" s="19" t="s">
        <v>36</v>
      </c>
      <c r="G8" s="3"/>
    </row>
    <row r="9" spans="1:8" x14ac:dyDescent="0.25">
      <c r="A9" s="17" t="s">
        <v>23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5" t="s">
        <v>19</v>
      </c>
    </row>
    <row r="10" spans="1:8" x14ac:dyDescent="0.25">
      <c r="A10" s="6" t="s">
        <v>20</v>
      </c>
      <c r="B10" s="7">
        <v>12</v>
      </c>
      <c r="C10" s="7">
        <v>8</v>
      </c>
      <c r="D10" s="7">
        <v>8</v>
      </c>
      <c r="E10" s="7">
        <v>14</v>
      </c>
      <c r="F10" s="7">
        <v>0</v>
      </c>
      <c r="G10" s="18">
        <f>SUM(B10:F10)</f>
        <v>42</v>
      </c>
    </row>
    <row r="11" spans="1:8" x14ac:dyDescent="0.25">
      <c r="A11" s="6" t="s">
        <v>21</v>
      </c>
      <c r="B11" s="7">
        <v>8</v>
      </c>
      <c r="C11" s="7">
        <v>12</v>
      </c>
      <c r="D11" s="7">
        <v>8</v>
      </c>
      <c r="E11" s="7">
        <v>10</v>
      </c>
      <c r="F11" s="7">
        <v>4</v>
      </c>
      <c r="G11" s="18">
        <f t="shared" ref="G11:G12" si="0">SUM(B11:F11)</f>
        <v>42</v>
      </c>
    </row>
    <row r="12" spans="1:8" x14ac:dyDescent="0.25">
      <c r="A12" s="6" t="s">
        <v>22</v>
      </c>
      <c r="B12" s="7">
        <v>8</v>
      </c>
      <c r="C12" s="7">
        <v>8</v>
      </c>
      <c r="D12" s="7">
        <v>12</v>
      </c>
      <c r="E12" s="7">
        <v>10</v>
      </c>
      <c r="F12" s="7">
        <v>4</v>
      </c>
      <c r="G12" s="18">
        <f t="shared" si="0"/>
        <v>42</v>
      </c>
    </row>
    <row r="13" spans="1:8" x14ac:dyDescent="0.25">
      <c r="A13" s="5" t="s">
        <v>19</v>
      </c>
      <c r="B13" s="18">
        <f>SUM(B10:B12)</f>
        <v>28</v>
      </c>
      <c r="C13" s="18">
        <f t="shared" ref="C13:F13" si="1">SUM(C10:C12)</f>
        <v>28</v>
      </c>
      <c r="D13" s="18">
        <f t="shared" si="1"/>
        <v>28</v>
      </c>
      <c r="E13" s="18">
        <f t="shared" si="1"/>
        <v>34</v>
      </c>
      <c r="F13" s="18">
        <f t="shared" si="1"/>
        <v>8</v>
      </c>
      <c r="G13" s="18"/>
    </row>
  </sheetData>
  <mergeCells count="3">
    <mergeCell ref="A1:H1"/>
    <mergeCell ref="A2:H4"/>
    <mergeCell ref="A5:H5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54EF-1F8E-42A3-B071-0FCC6D8BCCFF}">
  <dimension ref="A1"/>
  <sheetViews>
    <sheetView workbookViewId="0">
      <selection activeCell="L11" sqref="L11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0E6422-B1B7-40B6-ABA0-60855B1339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9E4D34-9184-4DB4-BC77-5D4D04AEC5EC}">
  <ds:schemaRefs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F77E01-3E44-4FD7-8913-8F2E5FBF2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úkol1</vt:lpstr>
      <vt:lpstr>úkol2</vt:lpstr>
      <vt:lpstr>úkol3</vt:lpstr>
      <vt:lpstr>Graf</vt:lpstr>
      <vt:lpstr>úkol4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Jan Syrovec</cp:lastModifiedBy>
  <dcterms:created xsi:type="dcterms:W3CDTF">2012-05-02T08:46:22Z</dcterms:created>
  <dcterms:modified xsi:type="dcterms:W3CDTF">2025-11-08T19:12:48Z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