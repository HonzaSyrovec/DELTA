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DELTA PROJEKTY\DELTA\praxe\"/>
    </mc:Choice>
  </mc:AlternateContent>
  <xr:revisionPtr revIDLastSave="0" documentId="13_ncr:1_{A35EF0E0-16B6-43D9-A1C4-9159C13AD24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Vzorce" sheetId="15" r:id="rId1"/>
    <sheet name="Když" sheetId="22" r:id="rId2"/>
    <sheet name="Datumové" sheetId="20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Data" localSheetId="2">#REF!</definedName>
    <definedName name="Data">#REF!</definedName>
    <definedName name="Data_nova" localSheetId="2">#REF!</definedName>
    <definedName name="Data_nova">#REF!</definedName>
    <definedName name="DATA2" localSheetId="2">#REF!</definedName>
    <definedName name="DATA2">#REF!</definedName>
    <definedName name="hovno" localSheetId="2" hidden="1">{"Normálně",#N/A,FALSE,"Knihy";#N/A,#N/A,FALSE,"Směny3"}</definedName>
    <definedName name="hovno" localSheetId="1" hidden="1">{"Normálně",#N/A,FALSE,"Knihy";#N/A,#N/A,FALSE,"Směny3"}</definedName>
    <definedName name="hovno" hidden="1">{"Normálně",#N/A,FALSE,"Knihy";#N/A,#N/A,FALSE,"Směny3"}</definedName>
    <definedName name="jiná" localSheetId="2" hidden="1">{"Normálně",#N/A,FALSE,"Knihy";#N/A,#N/A,FALSE,"Směny3"}</definedName>
    <definedName name="jiná" localSheetId="1" hidden="1">{"Normálně",#N/A,FALSE,"Knihy";#N/A,#N/A,FALSE,"Směny3"}</definedName>
    <definedName name="jiná" hidden="1">{"Normálně",#N/A,FALSE,"Knihy";#N/A,#N/A,FALSE,"Směny3"}</definedName>
    <definedName name="Legenda">[1]Knihy!$A$9,[1]Knihy!$A$3:$A$9,[1]Knihy!$B$3:$G$3</definedName>
    <definedName name="MakroPokus">[2]!MakroPokus</definedName>
    <definedName name="mzdy_hodnoty">'[3]Mzdy '!$B$4:$D$9</definedName>
    <definedName name="mzdy_legenda">'[1]Mzdy '!$A$3:$A$10,'[1]Mzdy '!$B$3:$I$3</definedName>
    <definedName name="mzdy_osoby">[3]Mzdy2!$A$4:$A$9</definedName>
    <definedName name="mzdy_součty">[3]Mzdy2!$B$10:$I$10</definedName>
    <definedName name="mzdy_vzorce">'[1]Mzdy '!$F$4:$J$10,'[1]Mzdy '!$B$10:$C$10,'[1]Mzdy '!$D$10,'[1]Mzdy '!$E$10,'[1]Mzdy '!$E$4:$E$9</definedName>
    <definedName name="nápoje" localSheetId="2" hidden="1">{"Normálně",#N/A,FALSE,"Knihy";#N/A,#N/A,FALSE,"Směny3"}</definedName>
    <definedName name="nápoje" localSheetId="1" hidden="1">{"Normálně",#N/A,FALSE,"Knihy";#N/A,#N/A,FALSE,"Směny3"}</definedName>
    <definedName name="nápoje" hidden="1">{"Normálně",#N/A,FALSE,"Knihy";#N/A,#N/A,FALSE,"Směny3"}</definedName>
    <definedName name="nevím" localSheetId="2" hidden="1">{"Normálně",#N/A,FALSE,"Knihy";#N/A,#N/A,FALSE,"Směny3"}</definedName>
    <definedName name="nevím" localSheetId="1" hidden="1">{"Normálně",#N/A,FALSE,"Knihy";#N/A,#N/A,FALSE,"Směny3"}</definedName>
    <definedName name="nevím" hidden="1">{"Normálně",#N/A,FALSE,"Knihy";#N/A,#N/A,FALSE,"Směny3"}</definedName>
    <definedName name="nic" localSheetId="2" hidden="1">{"Normálně",#N/A,FALSE,"Knihy";#N/A,#N/A,FALSE,"Směny3"}</definedName>
    <definedName name="nic" localSheetId="1" hidden="1">{"Normálně",#N/A,FALSE,"Knihy";#N/A,#N/A,FALSE,"Směny3"}</definedName>
    <definedName name="nic" hidden="1">{"Normálně",#N/A,FALSE,"Knihy";#N/A,#N/A,FALSE,"Směny3"}</definedName>
    <definedName name="ooo">[2]List2!$A$18:$B$22,[2]List2!$F$17:$G$21</definedName>
    <definedName name="počet_návštěvníků">#REF!</definedName>
    <definedName name="podmínka" localSheetId="2" hidden="1">{"Normálně",#N/A,FALSE,"Knihy";#N/A,#N/A,FALSE,"Směny3"}</definedName>
    <definedName name="podmínka" localSheetId="1" hidden="1">{"Normálně",#N/A,FALSE,"Knihy";#N/A,#N/A,FALSE,"Směny3"}</definedName>
    <definedName name="podmínka" hidden="1">{"Normálně",#N/A,FALSE,"Knihy";#N/A,#N/A,FALSE,"Směny3"}</definedName>
    <definedName name="Pojistné">[3]Mzdy3!$J$1</definedName>
    <definedName name="Prémie">[3]Mzdy2!$C$4:$C$9</definedName>
    <definedName name="Příplatek">[1]Mzdy2!#REF!</definedName>
    <definedName name="sazba_daně">'[4]závislost vzorců, pojm. oblasti'!$G$2</definedName>
    <definedName name="sdfv" localSheetId="2" hidden="1">{"Normálně",#N/A,FALSE,"Knihy";#N/A,#N/A,FALSE,"Směny3"}</definedName>
    <definedName name="sdfv" localSheetId="1" hidden="1">{"Normálně",#N/A,FALSE,"Knihy";#N/A,#N/A,FALSE,"Směny3"}</definedName>
    <definedName name="sdfv" hidden="1">{"Normálně",#N/A,FALSE,"Knihy";#N/A,#N/A,FALSE,"Směny3"}</definedName>
    <definedName name="Seznam1">#REF!</definedName>
    <definedName name="ssss">#REF!</definedName>
    <definedName name="Titul_a_součty">[1]Trafika!$A$3:$J$3,[1]Trafika!$A$23:$J$23</definedName>
    <definedName name="Tituly">[3]Trafika!$A$4:$A$22</definedName>
    <definedName name="ÚČAST" localSheetId="2">#REF!</definedName>
    <definedName name="ÚČAST">#REF!</definedName>
    <definedName name="vstupné">#REF!</definedName>
    <definedName name="Výpočty">[1]Knihy!$G$4:$G$9,[1]Knihy!$B$9:$F$9</definedName>
    <definedName name="wrn.Pokusná." localSheetId="2" hidden="1">{"Normálně",#N/A,FALSE,"Knihy";#N/A,#N/A,FALSE,"Směny3"}</definedName>
    <definedName name="wrn.Pokusná." localSheetId="1" hidden="1">{"Normálně",#N/A,FALSE,"Knihy";#N/A,#N/A,FALSE,"Směny3"}</definedName>
    <definedName name="wrn.Pokusná." hidden="1">{"Normálně",#N/A,FALSE,"Knihy";#N/A,#N/A,FALSE,"Směny3"}</definedName>
    <definedName name="xxx">[2]List2!$A$2:$B$5,[2]List2!$D$2:$F$5</definedName>
    <definedName name="zdroj">INDIRECT("Data!$A1:$H"&amp;65536-COUNTBLANK('[5]kontingenční tabulka 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5" l="1"/>
  <c r="D7" i="15"/>
  <c r="E7" i="15"/>
  <c r="F7" i="15"/>
  <c r="G7" i="15"/>
  <c r="H7" i="15"/>
  <c r="I7" i="15"/>
  <c r="J7" i="15"/>
  <c r="K7" i="15"/>
  <c r="L7" i="15"/>
  <c r="B7" i="15"/>
  <c r="C6" i="15"/>
  <c r="D6" i="15"/>
  <c r="E6" i="15"/>
  <c r="F6" i="15"/>
  <c r="G6" i="15"/>
  <c r="H6" i="15"/>
  <c r="I6" i="15"/>
  <c r="J6" i="15"/>
  <c r="K6" i="15"/>
  <c r="L6" i="15"/>
  <c r="B6" i="15"/>
  <c r="B6" i="22"/>
  <c r="B18" i="20"/>
  <c r="B14" i="20"/>
  <c r="B3" i="20"/>
  <c r="C3" i="20"/>
  <c r="D3" i="20"/>
  <c r="E3" i="20"/>
  <c r="B4" i="20"/>
  <c r="C4" i="20"/>
  <c r="D4" i="20"/>
  <c r="E4" i="20"/>
  <c r="B5" i="20"/>
  <c r="C5" i="20"/>
  <c r="D5" i="20"/>
  <c r="E5" i="20"/>
  <c r="B6" i="20"/>
  <c r="C6" i="20"/>
  <c r="D6" i="20"/>
  <c r="E6" i="20"/>
  <c r="B7" i="20"/>
  <c r="C7" i="20"/>
  <c r="D7" i="20"/>
  <c r="E7" i="20"/>
  <c r="B8" i="20"/>
  <c r="C8" i="20"/>
  <c r="D8" i="20"/>
  <c r="E8" i="20"/>
  <c r="B9" i="20"/>
  <c r="C9" i="20"/>
  <c r="D9" i="20"/>
  <c r="E9" i="20"/>
  <c r="B10" i="20"/>
  <c r="C10" i="20"/>
  <c r="D10" i="20"/>
  <c r="E10" i="20"/>
  <c r="E2" i="20"/>
  <c r="D2" i="20"/>
  <c r="C2" i="20"/>
  <c r="B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Votavová Gabriela</author>
  </authors>
  <commentList>
    <comment ref="A6" authorId="0" shapeId="0" xr:uid="{D2AC0222-E701-4076-BA81-9E06EC64D2A2}">
      <text>
        <r>
          <rPr>
            <b/>
            <sz val="9"/>
            <color indexed="81"/>
            <rFont val="Tahoma"/>
            <family val="2"/>
            <charset val="238"/>
          </rPr>
          <t xml:space="preserve">použijte znak stříšky ^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7" authorId="0" shapeId="0" xr:uid="{2A3D3FFE-02A9-4856-A8D1-1E029FBBD94B}">
      <text>
        <r>
          <rPr>
            <b/>
            <sz val="9"/>
            <color indexed="81"/>
            <rFont val="Tahoma"/>
            <family val="2"/>
            <charset val="238"/>
          </rPr>
          <t>použijte fci Odmocnina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<sst xmlns="http://schemas.openxmlformats.org/spreadsheetml/2006/main" count="38" uniqueCount="33">
  <si>
    <t>datum</t>
  </si>
  <si>
    <t>měsíc</t>
  </si>
  <si>
    <t>den měsíce</t>
  </si>
  <si>
    <t xml:space="preserve"> =DNES()</t>
  </si>
  <si>
    <t>rok</t>
  </si>
  <si>
    <t>Dnes</t>
  </si>
  <si>
    <t xml:space="preserve"> =NYNÍ()</t>
  </si>
  <si>
    <t xml:space="preserve">hodina </t>
  </si>
  <si>
    <t>minuta</t>
  </si>
  <si>
    <t>sekunda</t>
  </si>
  <si>
    <t>Nyní</t>
  </si>
  <si>
    <t>x</t>
  </si>
  <si>
    <t>y = -x</t>
  </si>
  <si>
    <t xml:space="preserve">Druhá mocnina x </t>
  </si>
  <si>
    <t>Druhá odmocnina x</t>
  </si>
  <si>
    <t>A</t>
  </si>
  <si>
    <t>B</t>
  </si>
  <si>
    <t>y = Ax - B</t>
  </si>
  <si>
    <t>Pátá mocnina y</t>
  </si>
  <si>
    <t>Čtvrtá odmocnina y</t>
  </si>
  <si>
    <t>Den v týdnu (číslo dne)</t>
  </si>
  <si>
    <t>den týdne</t>
  </si>
  <si>
    <t>ÚKOL: doplňte správné funkce do modrých polí a upravte tak, aby byla všechna pole dobře čitelná</t>
  </si>
  <si>
    <t>Výsledný počet bodů</t>
  </si>
  <si>
    <t>Kriteria pro přijetí</t>
  </si>
  <si>
    <t>až</t>
  </si>
  <si>
    <t>Vyhodnocení:</t>
  </si>
  <si>
    <t>a více</t>
  </si>
  <si>
    <t>y = 5x - 2</t>
  </si>
  <si>
    <t>paráda</t>
  </si>
  <si>
    <t>neprošel</t>
  </si>
  <si>
    <r>
      <t>ÚKOL:</t>
    </r>
    <r>
      <rPr>
        <b/>
        <sz val="11"/>
        <color rgb="FFFF0000"/>
        <rFont val="Arial"/>
        <family val="2"/>
        <charset val="238"/>
      </rPr>
      <t xml:space="preserve"> Vypište do buňky B6 správné kritérium pomocí  funkce Když, tak aby odpovídalo zadaným bodům v buňce E3. </t>
    </r>
  </si>
  <si>
    <t>Dopočítejte hodnoty "y" a "x" dle daných vzorců a známých funkcí POWER a ODMOCNINA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</si>
</sst>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Kč&quot;_-;\-* #,##0.00\ &quot;Kč&quot;_-;_-* &quot;-&quot;??\ &quot;Kč&quot;_-;_-@_-"/>
  </numFmts>
  <fonts count="2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theme="1"/>
      <name val="Arial CE"/>
      <family val="2"/>
      <charset val="238"/>
    </font>
    <font>
      <sz val="11"/>
      <color theme="1"/>
      <name val="Arial CE"/>
      <family val="2"/>
      <charset val="238"/>
    </font>
    <font>
      <sz val="11"/>
      <name val="Arial"/>
      <family val="2"/>
      <charset val="238"/>
    </font>
    <font>
      <b/>
      <sz val="11"/>
      <name val="Arial CE"/>
      <family val="2"/>
      <charset val="238"/>
    </font>
    <font>
      <b/>
      <sz val="11"/>
      <color rgb="FFFF0000"/>
      <name val="Arial CE"/>
      <family val="2"/>
      <charset val="238"/>
    </font>
    <font>
      <b/>
      <sz val="11"/>
      <color theme="3" tint="0.39997558519241921"/>
      <name val="Arial"/>
      <family val="2"/>
      <charset val="238"/>
    </font>
    <font>
      <sz val="11"/>
      <name val="Tahoma"/>
      <family val="2"/>
      <charset val="238"/>
    </font>
    <font>
      <b/>
      <sz val="11"/>
      <name val="Arial"/>
      <family val="2"/>
      <charset val="238"/>
    </font>
    <font>
      <sz val="11"/>
      <color theme="7" tint="-0.249977111117893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color rgb="FFFF0000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i/>
      <sz val="11"/>
      <color theme="4" tint="-0.24997711111789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7" fillId="0" borderId="0" xfId="8" applyFont="1"/>
    <xf numFmtId="0" fontId="8" fillId="0" borderId="0" xfId="8" applyFont="1"/>
    <xf numFmtId="0" fontId="1" fillId="0" borderId="0" xfId="8"/>
    <xf numFmtId="0" fontId="9" fillId="0" borderId="0" xfId="6" applyFont="1"/>
    <xf numFmtId="0" fontId="11" fillId="0" borderId="2" xfId="8" applyFont="1" applyBorder="1"/>
    <xf numFmtId="0" fontId="1" fillId="2" borderId="8" xfId="8" applyFill="1" applyBorder="1" applyAlignment="1">
      <alignment horizontal="center" vertical="center"/>
    </xf>
    <xf numFmtId="0" fontId="1" fillId="2" borderId="1" xfId="8" applyFill="1" applyBorder="1" applyAlignment="1">
      <alignment vertical="center"/>
    </xf>
    <xf numFmtId="0" fontId="1" fillId="2" borderId="1" xfId="8" applyFill="1" applyBorder="1" applyAlignment="1">
      <alignment horizontal="center" vertical="center"/>
    </xf>
    <xf numFmtId="0" fontId="11" fillId="0" borderId="1" xfId="8" applyFont="1" applyBorder="1"/>
    <xf numFmtId="0" fontId="12" fillId="0" borderId="1" xfId="6" applyFont="1" applyBorder="1"/>
    <xf numFmtId="0" fontId="13" fillId="0" borderId="0" xfId="2" applyFont="1"/>
    <xf numFmtId="0" fontId="1" fillId="0" borderId="0" xfId="0" applyFont="1"/>
    <xf numFmtId="0" fontId="9" fillId="0" borderId="0" xfId="2" applyFont="1"/>
    <xf numFmtId="0" fontId="16" fillId="3" borderId="1" xfId="0" applyFont="1" applyFill="1" applyBorder="1"/>
    <xf numFmtId="14" fontId="9" fillId="2" borderId="1" xfId="3" applyNumberFormat="1" applyFont="1" applyFill="1" applyBorder="1"/>
    <xf numFmtId="0" fontId="9" fillId="3" borderId="1" xfId="2" applyFont="1" applyFill="1" applyBorder="1"/>
    <xf numFmtId="0" fontId="17" fillId="0" borderId="0" xfId="2" applyFont="1"/>
    <xf numFmtId="0" fontId="9" fillId="0" borderId="1" xfId="2" applyFont="1" applyBorder="1"/>
    <xf numFmtId="0" fontId="14" fillId="0" borderId="1" xfId="2" applyFont="1" applyBorder="1"/>
    <xf numFmtId="0" fontId="14" fillId="2" borderId="1" xfId="2" applyFont="1" applyFill="1" applyBorder="1"/>
    <xf numFmtId="14" fontId="9" fillId="0" borderId="0" xfId="2" applyNumberFormat="1" applyFont="1"/>
    <xf numFmtId="0" fontId="16" fillId="0" borderId="0" xfId="0" applyFont="1"/>
    <xf numFmtId="0" fontId="14" fillId="0" borderId="1" xfId="2" applyFont="1" applyBorder="1" applyAlignment="1">
      <alignment horizontal="center" vertical="center"/>
    </xf>
    <xf numFmtId="14" fontId="16" fillId="3" borderId="1" xfId="0" applyNumberFormat="1" applyFont="1" applyFill="1" applyBorder="1"/>
    <xf numFmtId="0" fontId="19" fillId="0" borderId="0" xfId="0" applyFont="1"/>
    <xf numFmtId="0" fontId="21" fillId="0" borderId="0" xfId="0" applyFont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11" fillId="4" borderId="3" xfId="8" applyFont="1" applyFill="1" applyBorder="1" applyAlignment="1">
      <alignment horizontal="center"/>
    </xf>
    <xf numFmtId="0" fontId="10" fillId="5" borderId="4" xfId="8" applyFont="1" applyFill="1" applyBorder="1" applyAlignment="1">
      <alignment horizontal="center"/>
    </xf>
    <xf numFmtId="0" fontId="10" fillId="5" borderId="5" xfId="8" applyFont="1" applyFill="1" applyBorder="1" applyAlignment="1">
      <alignment horizontal="center"/>
    </xf>
    <xf numFmtId="0" fontId="10" fillId="5" borderId="3" xfId="8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/>
    </xf>
    <xf numFmtId="0" fontId="18" fillId="4" borderId="6" xfId="0" applyFont="1" applyFill="1" applyBorder="1"/>
    <xf numFmtId="0" fontId="15" fillId="4" borderId="1" xfId="2" applyFont="1" applyFill="1" applyBorder="1" applyAlignment="1">
      <alignment horizontal="center" wrapText="1"/>
    </xf>
    <xf numFmtId="0" fontId="15" fillId="4" borderId="1" xfId="2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/>
    </xf>
    <xf numFmtId="0" fontId="9" fillId="4" borderId="1" xfId="2" applyFont="1" applyFill="1" applyBorder="1"/>
    <xf numFmtId="0" fontId="4" fillId="0" borderId="0" xfId="6"/>
    <xf numFmtId="0" fontId="3" fillId="0" borderId="0" xfId="2"/>
    <xf numFmtId="22" fontId="9" fillId="3" borderId="1" xfId="2" applyNumberFormat="1" applyFont="1" applyFill="1" applyBorder="1"/>
    <xf numFmtId="0" fontId="2" fillId="0" borderId="0" xfId="1"/>
    <xf numFmtId="0" fontId="23" fillId="5" borderId="0" xfId="8" applyFont="1" applyFill="1" applyAlignment="1">
      <alignment horizontal="center" wrapText="1"/>
    </xf>
    <xf numFmtId="0" fontId="2" fillId="0" borderId="0" xfId="1"/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18" fillId="4" borderId="10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2">
    <cellStyle name="Měna 2" xfId="5" xr:uid="{8A5E79A9-06AD-4156-A0A0-BC178852EE71}"/>
    <cellStyle name="Měna 2 3" xfId="10" xr:uid="{331F6D55-8EF3-44F0-9C7B-C16243EB541F}"/>
    <cellStyle name="Normální" xfId="0" builtinId="0"/>
    <cellStyle name="Normální 2" xfId="1" xr:uid="{E03A5351-5B77-47BE-B652-A5158947DEE2}"/>
    <cellStyle name="Normální 2 2" xfId="8" xr:uid="{DB32CE5B-670B-4EF9-84CE-8B26EE9F70AC}"/>
    <cellStyle name="Normální 3" xfId="4" xr:uid="{5DF7EFB6-3A3E-4F55-8D79-EEFBF0464A2B}"/>
    <cellStyle name="Normální 3 2" xfId="9" xr:uid="{6F3BE63A-A00B-4303-8201-675625C976E5}"/>
    <cellStyle name="Normální 4" xfId="6" xr:uid="{00000000-0005-0000-0000-000003000000}"/>
    <cellStyle name="Normální 5" xfId="7" xr:uid="{13C5FDFD-B2DA-498E-9EB2-4AF017B7C63E}"/>
    <cellStyle name="normální_3_datumove_funkce" xfId="2" xr:uid="{81E87F0D-20D1-41E4-B3EC-260A2734884A}"/>
    <cellStyle name="normální_3_logicke_funkce" xfId="3" xr:uid="{1FC69BDB-7097-4C8A-A503-C538B0AC45C7}"/>
    <cellStyle name="Procenta 2 2" xfId="11" xr:uid="{B58255B6-B9E7-487F-9D3C-A0D8549B19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eta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ITELKY%20EXCEL\Excel\PokP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809301\aplikace\Dokumenty\Dokumenty\Pokusn&#253;%20se&#353;it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votaga.DELTA/Downloads/Opakovani_excel_2.xlsx" TargetMode="External"/><Relationship Id="rId1" Type="http://schemas.openxmlformats.org/officeDocument/2006/relationships/externalLinkPath" Target="/Users/votaga.DELTA/Downloads/Opakovani_exce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umAČasOK"/>
      <sheetName val="DatumAČas"/>
      <sheetName val="DatabFceOK"/>
      <sheetName val="Teplota"/>
      <sheetName val="Pracovnice"/>
      <sheetName val="Finance"/>
      <sheetName val="Krámek"/>
      <sheetName val="FinanceOK"/>
      <sheetName val="List2"/>
      <sheetName val="PokPok"/>
    </sheetNames>
    <definedNames>
      <definedName name="MakroPoku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11</v>
          </cell>
          <cell r="B2">
            <v>50</v>
          </cell>
          <cell r="D2">
            <v>258</v>
          </cell>
          <cell r="E2">
            <v>4785</v>
          </cell>
          <cell r="F2">
            <v>5689</v>
          </cell>
        </row>
        <row r="3">
          <cell r="A3">
            <v>33</v>
          </cell>
          <cell r="B3">
            <v>50</v>
          </cell>
          <cell r="D3" t="str">
            <v>aa</v>
          </cell>
          <cell r="E3" t="str">
            <v>j</v>
          </cell>
          <cell r="F3" t="str">
            <v>r</v>
          </cell>
        </row>
        <row r="4">
          <cell r="A4">
            <v>50</v>
          </cell>
          <cell r="B4">
            <v>142</v>
          </cell>
          <cell r="D4" t="str">
            <v>bb</v>
          </cell>
          <cell r="E4" t="str">
            <v>k</v>
          </cell>
          <cell r="F4" t="str">
            <v>f</v>
          </cell>
        </row>
        <row r="5">
          <cell r="A5">
            <v>478</v>
          </cell>
          <cell r="B5">
            <v>142</v>
          </cell>
          <cell r="D5" t="str">
            <v>cc</v>
          </cell>
          <cell r="E5" t="str">
            <v>l</v>
          </cell>
          <cell r="F5" t="str">
            <v>g</v>
          </cell>
        </row>
        <row r="17">
          <cell r="F17" t="str">
            <v>Leden</v>
          </cell>
          <cell r="G17" t="str">
            <v>1.</v>
          </cell>
        </row>
        <row r="18">
          <cell r="A18" t="str">
            <v>Pondělí</v>
          </cell>
          <cell r="B18">
            <v>12</v>
          </cell>
          <cell r="F18" t="str">
            <v>Únor</v>
          </cell>
          <cell r="G18" t="str">
            <v>2.</v>
          </cell>
        </row>
        <row r="19">
          <cell r="A19" t="str">
            <v>Úterý</v>
          </cell>
          <cell r="B19">
            <v>23</v>
          </cell>
          <cell r="F19" t="str">
            <v>Březen</v>
          </cell>
          <cell r="G19" t="str">
            <v>3.</v>
          </cell>
        </row>
        <row r="20">
          <cell r="A20" t="str">
            <v>Středa</v>
          </cell>
          <cell r="B20">
            <v>34</v>
          </cell>
          <cell r="F20" t="str">
            <v>Duben</v>
          </cell>
          <cell r="G20" t="str">
            <v>4.</v>
          </cell>
        </row>
        <row r="21">
          <cell r="A21" t="str">
            <v>Čtvrtek</v>
          </cell>
          <cell r="B21">
            <v>45</v>
          </cell>
          <cell r="F21" t="str">
            <v>Květen</v>
          </cell>
          <cell r="G21" t="str">
            <v>5.</v>
          </cell>
        </row>
        <row r="22">
          <cell r="A22" t="str">
            <v>Pátek</v>
          </cell>
          <cell r="B22">
            <v>56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5300</v>
          </cell>
          <cell r="C4">
            <v>1200</v>
          </cell>
          <cell r="D4">
            <v>500</v>
          </cell>
        </row>
        <row r="5">
          <cell r="B5">
            <v>7300</v>
          </cell>
          <cell r="C5">
            <v>1500</v>
          </cell>
          <cell r="D5">
            <v>500</v>
          </cell>
        </row>
        <row r="6">
          <cell r="B6">
            <v>9000</v>
          </cell>
          <cell r="C6">
            <v>1100</v>
          </cell>
          <cell r="D6">
            <v>600</v>
          </cell>
        </row>
        <row r="7">
          <cell r="B7">
            <v>8200</v>
          </cell>
          <cell r="C7">
            <v>1200</v>
          </cell>
          <cell r="D7">
            <v>800</v>
          </cell>
        </row>
        <row r="8">
          <cell r="B8">
            <v>6200</v>
          </cell>
          <cell r="C8">
            <v>900</v>
          </cell>
          <cell r="D8">
            <v>220</v>
          </cell>
        </row>
        <row r="9">
          <cell r="B9">
            <v>7200</v>
          </cell>
          <cell r="C9">
            <v>1700</v>
          </cell>
          <cell r="D9">
            <v>120</v>
          </cell>
        </row>
      </sheetData>
      <sheetData sheetId="11"/>
      <sheetData sheetId="12"/>
      <sheetData sheetId="13">
        <row r="1">
          <cell r="J1">
            <v>0.35</v>
          </cell>
        </row>
      </sheetData>
      <sheetData sheetId="14"/>
      <sheetData sheetId="15"/>
      <sheetData sheetId="16"/>
      <sheetData sheetId="17"/>
      <sheetData sheetId="18">
        <row r="4">
          <cell r="A4" t="str">
            <v>Rodokaps</v>
          </cell>
        </row>
        <row r="5">
          <cell r="A5" t="str">
            <v>Mladá fronta Dnes</v>
          </cell>
        </row>
        <row r="6">
          <cell r="A6" t="str">
            <v>Právo</v>
          </cell>
        </row>
        <row r="7">
          <cell r="A7" t="str">
            <v>Ikarie</v>
          </cell>
        </row>
        <row r="8">
          <cell r="A8" t="str">
            <v>Mladý svět</v>
          </cell>
        </row>
        <row r="9">
          <cell r="A9" t="str">
            <v>Dorka</v>
          </cell>
        </row>
        <row r="10">
          <cell r="A10" t="str">
            <v>Překvapení</v>
          </cell>
        </row>
        <row r="11">
          <cell r="A11" t="str">
            <v>Literární noviny</v>
          </cell>
        </row>
        <row r="12">
          <cell r="A12" t="str">
            <v>Ohníček</v>
          </cell>
        </row>
        <row r="13">
          <cell r="A13" t="str">
            <v>VTM</v>
          </cell>
        </row>
        <row r="14">
          <cell r="A14" t="str">
            <v>Stereo a Video</v>
          </cell>
        </row>
        <row r="15">
          <cell r="A15" t="str">
            <v>Koktejl</v>
          </cell>
        </row>
        <row r="16">
          <cell r="A16" t="str">
            <v>Sezona</v>
          </cell>
        </row>
        <row r="17">
          <cell r="A17" t="str">
            <v>Chip</v>
          </cell>
        </row>
        <row r="18">
          <cell r="A18" t="str">
            <v>Computer World</v>
          </cell>
        </row>
        <row r="19">
          <cell r="A19" t="str">
            <v>PC Magazine</v>
          </cell>
        </row>
        <row r="20">
          <cell r="A20" t="str">
            <v>PC World</v>
          </cell>
        </row>
        <row r="21">
          <cell r="A21" t="str">
            <v>Mouse</v>
          </cell>
        </row>
        <row r="22">
          <cell r="A22" t="str">
            <v>ChipWeek</v>
          </cell>
        </row>
      </sheetData>
      <sheetData sheetId="19"/>
      <sheetData sheetId="20">
        <row r="4">
          <cell r="A4" t="str">
            <v>Novák</v>
          </cell>
          <cell r="C4">
            <v>1200</v>
          </cell>
        </row>
        <row r="5">
          <cell r="A5" t="str">
            <v>Nováček</v>
          </cell>
          <cell r="C5">
            <v>1500</v>
          </cell>
        </row>
        <row r="6">
          <cell r="A6" t="str">
            <v>Dvořák</v>
          </cell>
          <cell r="C6">
            <v>1100</v>
          </cell>
        </row>
        <row r="7">
          <cell r="A7" t="str">
            <v>Janeček</v>
          </cell>
          <cell r="C7">
            <v>1200</v>
          </cell>
        </row>
        <row r="8">
          <cell r="A8" t="str">
            <v>Dvořáček</v>
          </cell>
          <cell r="C8">
            <v>900</v>
          </cell>
        </row>
        <row r="9">
          <cell r="A9" t="str">
            <v>Horáček</v>
          </cell>
          <cell r="C9">
            <v>1700</v>
          </cell>
        </row>
        <row r="10"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ýsečový graf"/>
      <sheetName val="kontingenční tabulka "/>
      <sheetName val="kontingenční graf "/>
      <sheetName val="Formátovaná tabulka"/>
      <sheetName val="Mzda"/>
      <sheetName val="Rozvaha"/>
      <sheetName val="Automatický filtr"/>
      <sheetName val="Filtr ženy 20%"/>
      <sheetName val="fce když"/>
      <sheetName val="Výsledná listina"/>
      <sheetName val="Klasifikace"/>
      <sheetName val="Seskupení "/>
      <sheetName val="Souhrny "/>
      <sheetName val="Prospěch"/>
      <sheetName val="3D sloupcový graf"/>
    </sheetNames>
    <sheetDataSet>
      <sheetData sheetId="0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76E-756F-4BA6-9F43-A074E05D15F3}">
  <dimension ref="A1:L25"/>
  <sheetViews>
    <sheetView tabSelected="1" zoomScale="130" zoomScaleNormal="130" workbookViewId="0">
      <selection activeCell="B7" sqref="B7:L7"/>
    </sheetView>
  </sheetViews>
  <sheetFormatPr defaultColWidth="9.140625" defaultRowHeight="14.25" x14ac:dyDescent="0.2"/>
  <cols>
    <col min="1" max="1" width="33.42578125" style="4" customWidth="1"/>
    <col min="2" max="16384" width="9.140625" style="4"/>
  </cols>
  <sheetData>
    <row r="1" spans="1:12" ht="15" x14ac:dyDescent="0.25">
      <c r="A1" s="1" t="s">
        <v>32</v>
      </c>
      <c r="B1" s="1"/>
      <c r="C1" s="1"/>
      <c r="D1" s="2"/>
      <c r="E1" s="2"/>
      <c r="F1" s="1"/>
      <c r="G1" s="1"/>
      <c r="H1" s="3"/>
      <c r="I1" s="3"/>
      <c r="J1" s="3"/>
      <c r="K1" s="3"/>
      <c r="L1" s="3"/>
    </row>
    <row r="2" spans="1:12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 thickBot="1" x14ac:dyDescent="0.3">
      <c r="A3" s="33" t="s">
        <v>11</v>
      </c>
      <c r="B3" s="34">
        <v>-7</v>
      </c>
      <c r="C3" s="35">
        <v>-4</v>
      </c>
      <c r="D3" s="35">
        <v>-2</v>
      </c>
      <c r="E3" s="35">
        <v>-5</v>
      </c>
      <c r="F3" s="35">
        <v>-1</v>
      </c>
      <c r="G3" s="35">
        <v>0</v>
      </c>
      <c r="H3" s="35">
        <v>1</v>
      </c>
      <c r="I3" s="35">
        <v>8</v>
      </c>
      <c r="J3" s="35">
        <v>2</v>
      </c>
      <c r="K3" s="34">
        <v>6</v>
      </c>
      <c r="L3" s="35">
        <v>4</v>
      </c>
    </row>
    <row r="4" spans="1:12" ht="15" x14ac:dyDescent="0.25">
      <c r="A4" s="5" t="s">
        <v>28</v>
      </c>
      <c r="B4" s="6"/>
      <c r="C4" s="7"/>
      <c r="D4" s="7"/>
      <c r="E4" s="8"/>
      <c r="F4" s="8"/>
      <c r="G4" s="7"/>
      <c r="H4" s="7"/>
      <c r="I4" s="8"/>
      <c r="J4" s="8"/>
      <c r="K4" s="7"/>
      <c r="L4" s="7"/>
    </row>
    <row r="5" spans="1:12" ht="15" x14ac:dyDescent="0.25">
      <c r="A5" s="9" t="s">
        <v>12</v>
      </c>
      <c r="B5" s="8"/>
      <c r="C5" s="7"/>
      <c r="D5" s="7"/>
      <c r="E5" s="8"/>
      <c r="F5" s="8"/>
      <c r="G5" s="7"/>
      <c r="H5" s="7"/>
      <c r="I5" s="8"/>
      <c r="J5" s="8"/>
      <c r="K5" s="7"/>
      <c r="L5" s="7"/>
    </row>
    <row r="6" spans="1:12" ht="15" x14ac:dyDescent="0.25">
      <c r="A6" s="10" t="s">
        <v>13</v>
      </c>
      <c r="B6" s="8">
        <f>POWER(B3,2)</f>
        <v>49</v>
      </c>
      <c r="C6" s="8">
        <f t="shared" ref="C6:L6" si="0">POWER(C3,2)</f>
        <v>16</v>
      </c>
      <c r="D6" s="8">
        <f t="shared" si="0"/>
        <v>4</v>
      </c>
      <c r="E6" s="8">
        <f t="shared" si="0"/>
        <v>25</v>
      </c>
      <c r="F6" s="8">
        <f t="shared" si="0"/>
        <v>1</v>
      </c>
      <c r="G6" s="8">
        <f t="shared" si="0"/>
        <v>0</v>
      </c>
      <c r="H6" s="8">
        <f t="shared" si="0"/>
        <v>1</v>
      </c>
      <c r="I6" s="8">
        <f t="shared" si="0"/>
        <v>64</v>
      </c>
      <c r="J6" s="8">
        <f t="shared" si="0"/>
        <v>4</v>
      </c>
      <c r="K6" s="8">
        <f t="shared" si="0"/>
        <v>36</v>
      </c>
      <c r="L6" s="8">
        <f t="shared" si="0"/>
        <v>16</v>
      </c>
    </row>
    <row r="7" spans="1:12" ht="15" x14ac:dyDescent="0.25">
      <c r="A7" s="10" t="s">
        <v>14</v>
      </c>
      <c r="B7" s="8" t="e">
        <f>POWER(B3,1/2)</f>
        <v>#NUM!</v>
      </c>
      <c r="C7" s="8" t="e">
        <f t="shared" ref="C7:L7" si="1">POWER(C3,1/2)</f>
        <v>#NUM!</v>
      </c>
      <c r="D7" s="8" t="e">
        <f t="shared" si="1"/>
        <v>#NUM!</v>
      </c>
      <c r="E7" s="8" t="e">
        <f t="shared" si="1"/>
        <v>#NUM!</v>
      </c>
      <c r="F7" s="8" t="e">
        <f t="shared" si="1"/>
        <v>#NUM!</v>
      </c>
      <c r="G7" s="8">
        <f t="shared" si="1"/>
        <v>0</v>
      </c>
      <c r="H7" s="8">
        <f t="shared" si="1"/>
        <v>1</v>
      </c>
      <c r="I7" s="8">
        <f t="shared" si="1"/>
        <v>2.8284271247461903</v>
      </c>
      <c r="J7" s="8">
        <f t="shared" si="1"/>
        <v>1.4142135623730951</v>
      </c>
      <c r="K7" s="8">
        <f t="shared" si="1"/>
        <v>2.4494897427831779</v>
      </c>
      <c r="L7" s="8">
        <f t="shared" si="1"/>
        <v>2</v>
      </c>
    </row>
    <row r="10" spans="1:12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.75" thickBot="1" x14ac:dyDescent="0.3">
      <c r="A11" s="32" t="s">
        <v>15</v>
      </c>
      <c r="B11" s="32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5.75" thickBot="1" x14ac:dyDescent="0.3">
      <c r="A12" s="32" t="s">
        <v>16</v>
      </c>
      <c r="B12" s="32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.75" thickBot="1" x14ac:dyDescent="0.3">
      <c r="A13" s="36" t="s">
        <v>11</v>
      </c>
      <c r="B13" s="34">
        <v>-7</v>
      </c>
      <c r="C13" s="35">
        <v>-4</v>
      </c>
      <c r="D13" s="35">
        <v>-2</v>
      </c>
      <c r="E13" s="35">
        <v>-5</v>
      </c>
      <c r="F13" s="35">
        <v>-1</v>
      </c>
      <c r="G13" s="35">
        <v>0</v>
      </c>
      <c r="H13" s="35">
        <v>1</v>
      </c>
      <c r="I13" s="35">
        <v>8</v>
      </c>
      <c r="J13" s="35">
        <v>2</v>
      </c>
      <c r="K13" s="34">
        <v>6</v>
      </c>
      <c r="L13" s="35">
        <v>4</v>
      </c>
    </row>
    <row r="14" spans="1:12" ht="15" x14ac:dyDescent="0.25">
      <c r="A14" s="5" t="s">
        <v>17</v>
      </c>
      <c r="B14" s="6"/>
      <c r="C14" s="7"/>
      <c r="D14" s="7"/>
      <c r="E14" s="8"/>
      <c r="F14" s="8"/>
      <c r="G14" s="7"/>
      <c r="H14" s="7"/>
      <c r="I14" s="8"/>
      <c r="J14" s="8"/>
      <c r="K14" s="7"/>
      <c r="L14" s="7"/>
    </row>
    <row r="15" spans="1:12" ht="15" x14ac:dyDescent="0.25">
      <c r="A15" s="10" t="s">
        <v>18</v>
      </c>
      <c r="B15" s="6"/>
      <c r="C15" s="7"/>
      <c r="D15" s="7"/>
      <c r="E15" s="8"/>
      <c r="F15" s="8"/>
      <c r="G15" s="7"/>
      <c r="H15" s="7"/>
      <c r="I15" s="8"/>
      <c r="J15" s="8"/>
      <c r="K15" s="7"/>
      <c r="L15" s="7"/>
    </row>
    <row r="16" spans="1:12" ht="15" x14ac:dyDescent="0.25">
      <c r="A16" s="10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9" spans="1:6" x14ac:dyDescent="0.2">
      <c r="A19" s="45"/>
      <c r="B19" s="47"/>
      <c r="C19" s="47"/>
      <c r="D19" s="47"/>
      <c r="E19" s="47"/>
      <c r="F19" s="47"/>
    </row>
    <row r="20" spans="1:6" x14ac:dyDescent="0.2">
      <c r="A20" s="45"/>
    </row>
    <row r="21" spans="1:6" x14ac:dyDescent="0.2">
      <c r="A21" s="45"/>
    </row>
    <row r="22" spans="1:6" x14ac:dyDescent="0.2">
      <c r="A22" s="45"/>
    </row>
    <row r="23" spans="1:6" x14ac:dyDescent="0.2">
      <c r="A23" s="45"/>
    </row>
    <row r="24" spans="1:6" x14ac:dyDescent="0.2">
      <c r="A24" s="45"/>
    </row>
    <row r="25" spans="1:6" x14ac:dyDescent="0.2">
      <c r="A25" s="45"/>
      <c r="B25" s="45"/>
      <c r="C25" s="45"/>
      <c r="D25" s="45"/>
      <c r="E25" s="45"/>
    </row>
  </sheetData>
  <mergeCells count="1">
    <mergeCell ref="B19:F1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83B1-E793-43BB-9718-FDF0C28113F6}">
  <dimension ref="A1:J6"/>
  <sheetViews>
    <sheetView zoomScale="154" zoomScaleNormal="154" workbookViewId="0">
      <selection activeCell="B6" sqref="B6:E6"/>
    </sheetView>
  </sheetViews>
  <sheetFormatPr defaultRowHeight="15" x14ac:dyDescent="0.25"/>
  <cols>
    <col min="5" max="5" width="12.42578125" customWidth="1"/>
    <col min="10" max="10" width="25.28515625" bestFit="1" customWidth="1"/>
  </cols>
  <sheetData>
    <row r="1" spans="1:10" ht="15.75" x14ac:dyDescent="0.25">
      <c r="A1" s="25" t="s">
        <v>31</v>
      </c>
      <c r="B1" s="26"/>
      <c r="C1" s="26"/>
      <c r="D1" s="26"/>
      <c r="E1" s="26"/>
      <c r="F1" s="26"/>
      <c r="G1" s="26"/>
    </row>
    <row r="2" spans="1:10" ht="15.75" thickBot="1" x14ac:dyDescent="0.3"/>
    <row r="3" spans="1:10" ht="16.5" thickBot="1" x14ac:dyDescent="0.3">
      <c r="B3" s="48" t="s">
        <v>23</v>
      </c>
      <c r="C3" s="49"/>
      <c r="D3" s="49"/>
      <c r="E3" s="37">
        <v>90</v>
      </c>
      <c r="G3" s="50" t="s">
        <v>24</v>
      </c>
      <c r="H3" s="51"/>
      <c r="I3" s="51"/>
      <c r="J3" s="52"/>
    </row>
    <row r="4" spans="1:10" ht="15.75" thickBot="1" x14ac:dyDescent="0.3">
      <c r="G4" s="27">
        <v>0</v>
      </c>
      <c r="H4" s="28" t="s">
        <v>25</v>
      </c>
      <c r="I4" s="28">
        <v>70</v>
      </c>
      <c r="J4" s="29" t="s">
        <v>30</v>
      </c>
    </row>
    <row r="5" spans="1:10" ht="15.75" thickBot="1" x14ac:dyDescent="0.3">
      <c r="B5" s="53" t="s">
        <v>26</v>
      </c>
      <c r="C5" s="54"/>
      <c r="G5" s="30">
        <v>71</v>
      </c>
      <c r="H5" s="55" t="s">
        <v>27</v>
      </c>
      <c r="I5" s="55"/>
      <c r="J5" s="31" t="s">
        <v>29</v>
      </c>
    </row>
    <row r="6" spans="1:10" ht="16.5" thickBot="1" x14ac:dyDescent="0.3">
      <c r="B6" s="50" t="str">
        <f>IF(E3&gt;71,"prošel", "neprošel")</f>
        <v>prošel</v>
      </c>
      <c r="C6" s="51"/>
      <c r="D6" s="51"/>
      <c r="E6" s="52"/>
    </row>
  </sheetData>
  <mergeCells count="5">
    <mergeCell ref="B3:D3"/>
    <mergeCell ref="G3:J3"/>
    <mergeCell ref="B5:C5"/>
    <mergeCell ref="B6:E6"/>
    <mergeCell ref="H5:I5"/>
  </mergeCells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9CBA-3EAE-413B-AE70-7ED0390DE697}">
  <dimension ref="A1:M26"/>
  <sheetViews>
    <sheetView zoomScale="154" zoomScaleNormal="154" workbookViewId="0">
      <selection activeCell="C18" sqref="C18"/>
    </sheetView>
  </sheetViews>
  <sheetFormatPr defaultColWidth="9.140625" defaultRowHeight="14.25" x14ac:dyDescent="0.2"/>
  <cols>
    <col min="1" max="1" width="11.7109375" style="11" customWidth="1"/>
    <col min="2" max="2" width="19" style="11" customWidth="1"/>
    <col min="3" max="3" width="12.42578125" style="11" customWidth="1"/>
    <col min="4" max="4" width="11.5703125" style="11" bestFit="1" customWidth="1"/>
    <col min="5" max="5" width="10.42578125" style="11" customWidth="1"/>
    <col min="6" max="6" width="15.28515625" style="11" customWidth="1"/>
    <col min="7" max="7" width="15.42578125" style="11" customWidth="1"/>
    <col min="8" max="8" width="15.85546875" style="11" bestFit="1" customWidth="1"/>
    <col min="9" max="16384" width="9.140625" style="11"/>
  </cols>
  <sheetData>
    <row r="1" spans="1:13" ht="32.450000000000003" customHeight="1" x14ac:dyDescent="0.2">
      <c r="A1" s="23" t="s">
        <v>0</v>
      </c>
      <c r="B1" s="38" t="s">
        <v>20</v>
      </c>
      <c r="C1" s="39" t="s">
        <v>4</v>
      </c>
      <c r="D1" s="39" t="s">
        <v>1</v>
      </c>
      <c r="E1" s="38" t="s">
        <v>2</v>
      </c>
      <c r="F1" s="43"/>
      <c r="G1" s="42"/>
      <c r="I1" s="46" t="s">
        <v>22</v>
      </c>
      <c r="J1" s="46"/>
      <c r="K1" s="46"/>
      <c r="L1" s="46"/>
    </row>
    <row r="2" spans="1:13" ht="15" x14ac:dyDescent="0.25">
      <c r="A2" s="15">
        <v>44747</v>
      </c>
      <c r="B2" s="14">
        <f>WEEKDAY(A2)</f>
        <v>3</v>
      </c>
      <c r="C2" s="14">
        <f>YEAR(A2)</f>
        <v>2022</v>
      </c>
      <c r="D2" s="14">
        <f>MONTH(A2)</f>
        <v>7</v>
      </c>
      <c r="E2" s="14">
        <f>DAY(A2)</f>
        <v>5</v>
      </c>
      <c r="F2" s="43"/>
      <c r="G2" s="42"/>
      <c r="H2"/>
      <c r="I2" s="46"/>
      <c r="J2" s="46"/>
      <c r="K2" s="46"/>
      <c r="L2" s="46"/>
    </row>
    <row r="3" spans="1:13" ht="15" x14ac:dyDescent="0.25">
      <c r="A3" s="15">
        <v>26760</v>
      </c>
      <c r="B3" s="14">
        <f t="shared" ref="B3:B10" si="0">WEEKDAY(A3)</f>
        <v>6</v>
      </c>
      <c r="C3" s="14">
        <f t="shared" ref="C3:C10" si="1">YEAR(A3)</f>
        <v>1973</v>
      </c>
      <c r="D3" s="14">
        <f t="shared" ref="D3:D10" si="2">MONTH(A3)</f>
        <v>4</v>
      </c>
      <c r="E3" s="14">
        <f t="shared" ref="E3:E10" si="3">DAY(A3)</f>
        <v>6</v>
      </c>
      <c r="F3" s="43"/>
      <c r="G3" s="42"/>
      <c r="H3"/>
      <c r="I3" s="46"/>
      <c r="J3" s="46"/>
      <c r="K3" s="46"/>
      <c r="L3" s="46"/>
    </row>
    <row r="4" spans="1:13" ht="14.45" customHeight="1" x14ac:dyDescent="0.2">
      <c r="A4" s="15">
        <v>35646</v>
      </c>
      <c r="B4" s="14">
        <f t="shared" si="0"/>
        <v>2</v>
      </c>
      <c r="C4" s="14">
        <f t="shared" si="1"/>
        <v>1997</v>
      </c>
      <c r="D4" s="14">
        <f t="shared" si="2"/>
        <v>8</v>
      </c>
      <c r="E4" s="14">
        <f t="shared" si="3"/>
        <v>4</v>
      </c>
      <c r="F4" s="43"/>
      <c r="G4" s="42"/>
      <c r="I4" s="46"/>
      <c r="J4" s="46"/>
      <c r="K4" s="46"/>
      <c r="L4" s="46"/>
    </row>
    <row r="5" spans="1:13" ht="15" x14ac:dyDescent="0.25">
      <c r="A5" s="15">
        <v>19059</v>
      </c>
      <c r="B5" s="14">
        <f t="shared" si="0"/>
        <v>5</v>
      </c>
      <c r="C5" s="14">
        <f t="shared" si="1"/>
        <v>1952</v>
      </c>
      <c r="D5" s="14">
        <f t="shared" si="2"/>
        <v>3</v>
      </c>
      <c r="E5" s="14">
        <f t="shared" si="3"/>
        <v>6</v>
      </c>
      <c r="F5" s="43"/>
      <c r="G5" s="42"/>
      <c r="H5"/>
    </row>
    <row r="6" spans="1:13" ht="15" x14ac:dyDescent="0.25">
      <c r="A6" s="15">
        <v>42718</v>
      </c>
      <c r="B6" s="14">
        <f t="shared" si="0"/>
        <v>4</v>
      </c>
      <c r="C6" s="14">
        <f t="shared" si="1"/>
        <v>2016</v>
      </c>
      <c r="D6" s="14">
        <f t="shared" si="2"/>
        <v>12</v>
      </c>
      <c r="E6" s="14">
        <f t="shared" si="3"/>
        <v>14</v>
      </c>
      <c r="F6" s="43"/>
      <c r="G6" s="42"/>
      <c r="H6"/>
    </row>
    <row r="7" spans="1:13" ht="15" x14ac:dyDescent="0.25">
      <c r="A7" s="15">
        <v>45243</v>
      </c>
      <c r="B7" s="14">
        <f t="shared" si="0"/>
        <v>2</v>
      </c>
      <c r="C7" s="14">
        <f t="shared" si="1"/>
        <v>2023</v>
      </c>
      <c r="D7" s="14">
        <f t="shared" si="2"/>
        <v>11</v>
      </c>
      <c r="E7" s="14">
        <f t="shared" si="3"/>
        <v>13</v>
      </c>
      <c r="F7" s="43"/>
      <c r="G7" s="42"/>
      <c r="H7"/>
    </row>
    <row r="8" spans="1:13" ht="15" x14ac:dyDescent="0.25">
      <c r="A8" s="15">
        <v>44472</v>
      </c>
      <c r="B8" s="14">
        <f t="shared" si="0"/>
        <v>1</v>
      </c>
      <c r="C8" s="14">
        <f t="shared" si="1"/>
        <v>2021</v>
      </c>
      <c r="D8" s="14">
        <f t="shared" si="2"/>
        <v>10</v>
      </c>
      <c r="E8" s="14">
        <f t="shared" si="3"/>
        <v>3</v>
      </c>
      <c r="F8" s="43"/>
      <c r="G8" s="42"/>
      <c r="H8"/>
    </row>
    <row r="9" spans="1:13" ht="15" x14ac:dyDescent="0.25">
      <c r="A9" s="15">
        <v>37787</v>
      </c>
      <c r="B9" s="14">
        <f t="shared" si="0"/>
        <v>1</v>
      </c>
      <c r="C9" s="14">
        <f t="shared" si="1"/>
        <v>2003</v>
      </c>
      <c r="D9" s="14">
        <f t="shared" si="2"/>
        <v>6</v>
      </c>
      <c r="E9" s="14">
        <f t="shared" si="3"/>
        <v>15</v>
      </c>
      <c r="F9" s="43"/>
      <c r="G9" s="42"/>
      <c r="H9"/>
      <c r="I9"/>
      <c r="J9"/>
      <c r="K9"/>
      <c r="L9"/>
      <c r="M9"/>
    </row>
    <row r="10" spans="1:13" ht="15" x14ac:dyDescent="0.25">
      <c r="A10" s="15">
        <v>38631</v>
      </c>
      <c r="B10" s="14">
        <f t="shared" si="0"/>
        <v>5</v>
      </c>
      <c r="C10" s="14">
        <f t="shared" si="1"/>
        <v>2005</v>
      </c>
      <c r="D10" s="14">
        <f t="shared" si="2"/>
        <v>10</v>
      </c>
      <c r="E10" s="14">
        <f t="shared" si="3"/>
        <v>6</v>
      </c>
      <c r="F10" s="43"/>
      <c r="G10" s="42"/>
      <c r="H10"/>
      <c r="I10"/>
      <c r="J10"/>
      <c r="K10"/>
      <c r="L10"/>
      <c r="M10"/>
    </row>
    <row r="11" spans="1:13" ht="15" x14ac:dyDescent="0.25">
      <c r="A11" s="13"/>
      <c r="B11" s="17"/>
      <c r="C11" s="13"/>
      <c r="D11" s="13"/>
      <c r="E11" s="13"/>
      <c r="F11" s="13"/>
      <c r="H11"/>
      <c r="I11"/>
      <c r="J11"/>
      <c r="K11"/>
      <c r="L11"/>
      <c r="M11"/>
    </row>
    <row r="12" spans="1:13" ht="15" x14ac:dyDescent="0.25">
      <c r="A12" s="13"/>
      <c r="B12" s="13"/>
      <c r="C12" s="13"/>
      <c r="D12" s="13"/>
      <c r="E12" s="13"/>
      <c r="F12" s="13"/>
      <c r="H12"/>
      <c r="I12"/>
      <c r="J12"/>
      <c r="K12"/>
      <c r="L12"/>
      <c r="M12"/>
    </row>
    <row r="13" spans="1:13" ht="29.25" x14ac:dyDescent="0.25">
      <c r="A13" s="18"/>
      <c r="B13" s="19" t="s">
        <v>3</v>
      </c>
      <c r="C13" s="40" t="s">
        <v>21</v>
      </c>
      <c r="D13" s="40" t="s">
        <v>4</v>
      </c>
      <c r="E13" s="38" t="s">
        <v>2</v>
      </c>
      <c r="F13" s="40" t="s">
        <v>1</v>
      </c>
      <c r="G13" s="43"/>
      <c r="H13"/>
      <c r="I13"/>
      <c r="J13"/>
      <c r="K13"/>
      <c r="L13"/>
      <c r="M13"/>
    </row>
    <row r="14" spans="1:13" ht="15" x14ac:dyDescent="0.25">
      <c r="A14" s="20" t="s">
        <v>5</v>
      </c>
      <c r="B14" s="24">
        <f ca="1">TODAY()</f>
        <v>46162</v>
      </c>
      <c r="C14" s="14"/>
      <c r="D14" s="14"/>
      <c r="E14" s="14"/>
      <c r="F14" s="14"/>
      <c r="G14" s="43"/>
      <c r="H14"/>
      <c r="I14"/>
      <c r="J14"/>
      <c r="K14"/>
      <c r="L14"/>
      <c r="M14"/>
    </row>
    <row r="15" spans="1:13" x14ac:dyDescent="0.2">
      <c r="A15" s="13"/>
      <c r="B15" s="13"/>
      <c r="C15" s="13"/>
      <c r="D15" s="13"/>
      <c r="E15" s="13"/>
      <c r="F15" s="13"/>
    </row>
    <row r="16" spans="1:13" x14ac:dyDescent="0.2">
      <c r="A16" s="13"/>
      <c r="B16" s="21"/>
      <c r="C16" s="13"/>
      <c r="D16" s="13"/>
      <c r="E16" s="13"/>
      <c r="F16" s="13"/>
    </row>
    <row r="17" spans="1:6" ht="15" x14ac:dyDescent="0.25">
      <c r="A17" s="18"/>
      <c r="B17" s="19" t="s">
        <v>6</v>
      </c>
      <c r="C17" s="41" t="s">
        <v>4</v>
      </c>
      <c r="D17" s="41" t="s">
        <v>7</v>
      </c>
      <c r="E17" s="41" t="s">
        <v>8</v>
      </c>
      <c r="F17" s="41" t="s">
        <v>9</v>
      </c>
    </row>
    <row r="18" spans="1:6" ht="15" x14ac:dyDescent="0.25">
      <c r="A18" s="20" t="s">
        <v>10</v>
      </c>
      <c r="B18" s="44">
        <f ca="1">NOW()</f>
        <v>46162.485583217589</v>
      </c>
      <c r="C18" s="16"/>
      <c r="D18" s="16"/>
      <c r="E18" s="16"/>
      <c r="F18" s="16"/>
    </row>
    <row r="19" spans="1:6" x14ac:dyDescent="0.2">
      <c r="A19" s="13"/>
      <c r="B19" s="22"/>
      <c r="C19" s="22"/>
      <c r="D19" s="22"/>
      <c r="E19" s="22"/>
      <c r="F19" s="22"/>
    </row>
    <row r="21" spans="1:6" ht="15" x14ac:dyDescent="0.25">
      <c r="A21" s="12"/>
      <c r="B21" s="12"/>
      <c r="C21" s="12"/>
      <c r="D21" s="12"/>
      <c r="E21" s="12"/>
    </row>
    <row r="22" spans="1:6" ht="15" x14ac:dyDescent="0.25">
      <c r="A22" s="12"/>
      <c r="B22" s="12"/>
      <c r="C22" s="12"/>
      <c r="D22" s="12"/>
      <c r="E22" s="12"/>
    </row>
    <row r="23" spans="1:6" ht="15" x14ac:dyDescent="0.25">
      <c r="A23" s="12"/>
      <c r="B23" s="12"/>
      <c r="C23" s="12"/>
      <c r="D23" s="12"/>
      <c r="E23" s="12"/>
    </row>
    <row r="24" spans="1:6" ht="15" x14ac:dyDescent="0.25">
      <c r="A24" s="12"/>
      <c r="B24" s="12"/>
      <c r="C24" s="12"/>
      <c r="D24" s="12"/>
      <c r="E24" s="12"/>
      <c r="F24" s="12"/>
    </row>
    <row r="25" spans="1:6" ht="15" x14ac:dyDescent="0.25">
      <c r="A25" s="12"/>
      <c r="B25" s="12"/>
      <c r="C25" s="12"/>
      <c r="D25" s="12"/>
      <c r="E25" s="12"/>
    </row>
    <row r="26" spans="1:6" ht="15" x14ac:dyDescent="0.25">
      <c r="A26" s="12"/>
      <c r="B26" s="12"/>
      <c r="C26" s="12"/>
      <c r="D26" s="12"/>
      <c r="E26" s="12"/>
    </row>
  </sheetData>
  <mergeCells count="1">
    <mergeCell ref="I1:L4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2F859-5A93-4362-A0AD-5F1B2CA9AE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90D82-CE66-4F15-BA28-0C76387BD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E5C1E-19BF-468D-B0B2-61003722B55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Vzorce</vt:lpstr>
      <vt:lpstr>Když</vt:lpstr>
      <vt:lpstr>Datumové</vt:lpstr>
    </vt:vector>
  </TitlesOfParts>
  <Company>Delta 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formji</dc:creator>
  <cp:lastModifiedBy>Jan Syrovec</cp:lastModifiedBy>
  <dcterms:created xsi:type="dcterms:W3CDTF">2011-01-20T08:23:08Z</dcterms:created>
  <dcterms:modified xsi:type="dcterms:W3CDTF">2026-05-22T07:48:56Z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